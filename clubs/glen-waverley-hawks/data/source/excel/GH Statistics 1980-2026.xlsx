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fb44936477a896/Music/Documents/GW Hawks Cricket Club/GW HAWKS Stats/Hawks Stats/GH Statistics Career/"/>
    </mc:Choice>
  </mc:AlternateContent>
  <xr:revisionPtr revIDLastSave="17" documentId="8_{E7221FB6-8FF7-4105-AA74-21FECEB738F2}" xr6:coauthVersionLast="47" xr6:coauthVersionMax="47" xr10:uidLastSave="{D2037A2C-0CDA-417F-B999-9E3025C9E2DA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107" i="1" l="1"/>
  <c r="I853" i="1"/>
  <c r="F853" i="1"/>
  <c r="F840" i="1"/>
  <c r="I839" i="1"/>
  <c r="F773" i="1"/>
  <c r="I734" i="1"/>
  <c r="F734" i="1"/>
  <c r="I731" i="1"/>
  <c r="F731" i="1"/>
  <c r="F728" i="1"/>
  <c r="I728" i="1"/>
  <c r="F635" i="1"/>
  <c r="I635" i="1"/>
  <c r="I609" i="1"/>
  <c r="I608" i="1"/>
  <c r="F608" i="1"/>
  <c r="I575" i="1"/>
  <c r="F575" i="1"/>
  <c r="I513" i="1"/>
  <c r="F513" i="1"/>
  <c r="F432" i="1"/>
  <c r="I400" i="1"/>
  <c r="F400" i="1"/>
  <c r="I320" i="1"/>
  <c r="F320" i="1"/>
  <c r="F293" i="1"/>
  <c r="I187" i="1"/>
  <c r="F187" i="1"/>
  <c r="F19" i="1"/>
  <c r="AB779" i="1"/>
  <c r="AB765" i="1"/>
  <c r="Y765" i="1"/>
  <c r="AB720" i="1"/>
  <c r="Y657" i="1"/>
  <c r="Y635" i="1"/>
  <c r="AB635" i="1"/>
  <c r="AB556" i="1"/>
  <c r="Y542" i="1"/>
  <c r="Y543" i="1"/>
  <c r="Y425" i="1"/>
  <c r="Y428" i="1"/>
  <c r="Y447" i="1"/>
  <c r="AB318" i="1"/>
  <c r="Y318" i="1"/>
  <c r="Y231" i="1"/>
  <c r="Y79" i="1"/>
  <c r="Y506" i="1"/>
  <c r="Y507" i="1"/>
  <c r="AB506" i="1"/>
  <c r="I506" i="1"/>
  <c r="Y510" i="1"/>
  <c r="I510" i="1"/>
  <c r="F510" i="1"/>
  <c r="Y495" i="1"/>
  <c r="AB495" i="1"/>
  <c r="I495" i="1"/>
  <c r="F495" i="1"/>
  <c r="F447" i="1"/>
  <c r="I292" i="1"/>
  <c r="F292" i="1"/>
  <c r="F240" i="1"/>
  <c r="I240" i="1"/>
  <c r="AB240" i="1"/>
  <c r="Y240" i="1"/>
  <c r="Y207" i="1"/>
  <c r="I207" i="1"/>
  <c r="F207" i="1"/>
  <c r="Y205" i="1"/>
  <c r="F205" i="1"/>
  <c r="AB164" i="1"/>
  <c r="AB148" i="1"/>
  <c r="Y148" i="1"/>
  <c r="I148" i="1"/>
  <c r="F148" i="1"/>
  <c r="Y91" i="1"/>
  <c r="F40" i="1"/>
  <c r="S13" i="1"/>
  <c r="I12" i="1"/>
  <c r="AB835" i="1"/>
  <c r="I835" i="1"/>
  <c r="F835" i="1"/>
  <c r="F800" i="1"/>
  <c r="AB798" i="1"/>
  <c r="AB800" i="1"/>
  <c r="Y798" i="1"/>
  <c r="Y800" i="1"/>
  <c r="I800" i="1"/>
  <c r="Y753" i="1"/>
  <c r="AB753" i="1"/>
  <c r="I753" i="1"/>
  <c r="F753" i="1"/>
  <c r="AB751" i="1"/>
  <c r="Y751" i="1"/>
  <c r="I751" i="1"/>
  <c r="F751" i="1"/>
  <c r="AB736" i="1"/>
  <c r="Y736" i="1"/>
  <c r="I736" i="1"/>
  <c r="F736" i="1"/>
  <c r="AB717" i="1"/>
  <c r="Y712" i="1"/>
  <c r="F712" i="1"/>
  <c r="F666" i="1"/>
  <c r="Y616" i="1"/>
  <c r="I616" i="1"/>
  <c r="F616" i="1"/>
  <c r="AB507" i="1"/>
  <c r="AB508" i="1"/>
  <c r="F507" i="1"/>
  <c r="I507" i="1"/>
  <c r="F431" i="1"/>
  <c r="F433" i="1"/>
  <c r="I433" i="1"/>
  <c r="I427" i="1"/>
  <c r="I428" i="1"/>
  <c r="F428" i="1"/>
  <c r="Y211" i="1"/>
  <c r="AB211" i="1"/>
  <c r="Y858" i="1"/>
  <c r="AB858" i="1"/>
  <c r="F858" i="1"/>
  <c r="I858" i="1"/>
  <c r="I837" i="1"/>
  <c r="F837" i="1"/>
  <c r="I754" i="1"/>
  <c r="F754" i="1"/>
  <c r="F711" i="1"/>
  <c r="I711" i="1"/>
  <c r="AB578" i="1"/>
  <c r="AB593" i="1"/>
  <c r="Y562" i="1"/>
  <c r="AB562" i="1"/>
  <c r="I562" i="1"/>
  <c r="F562" i="1"/>
  <c r="Y549" i="1"/>
  <c r="Y553" i="1"/>
  <c r="I550" i="1"/>
  <c r="F550" i="1"/>
  <c r="AB549" i="1"/>
  <c r="F549" i="1"/>
  <c r="I549" i="1"/>
  <c r="I544" i="1"/>
  <c r="F544" i="1"/>
  <c r="F543" i="1"/>
  <c r="I543" i="1"/>
  <c r="P498" i="1"/>
  <c r="F486" i="1"/>
  <c r="I442" i="1"/>
  <c r="AB425" i="1"/>
  <c r="F419" i="1"/>
  <c r="AB407" i="1"/>
  <c r="AB399" i="1"/>
  <c r="Y399" i="1"/>
  <c r="I309" i="1"/>
  <c r="F309" i="1"/>
  <c r="AB231" i="1"/>
  <c r="I231" i="1"/>
  <c r="F231" i="1"/>
  <c r="AB202" i="1"/>
  <c r="I202" i="1"/>
  <c r="F81" i="1"/>
  <c r="I67" i="1"/>
  <c r="F86" i="1"/>
  <c r="Y107" i="1"/>
  <c r="AB79" i="1"/>
  <c r="AB10" i="1"/>
  <c r="I852" i="1"/>
  <c r="I578" i="1"/>
  <c r="I8" i="1"/>
  <c r="Y852" i="1"/>
  <c r="AB852" i="1"/>
  <c r="Y458" i="1"/>
  <c r="Y768" i="1"/>
  <c r="Y770" i="1"/>
  <c r="Y700" i="1"/>
  <c r="Y715" i="1"/>
  <c r="Y717" i="1"/>
  <c r="Y696" i="1"/>
  <c r="AB696" i="1"/>
  <c r="Y665" i="1"/>
  <c r="AB665" i="1"/>
  <c r="Y604" i="1"/>
  <c r="AB604" i="1"/>
  <c r="Y592" i="1"/>
  <c r="AB592" i="1"/>
  <c r="Y572" i="1"/>
  <c r="Y563" i="1"/>
  <c r="Y571" i="1"/>
  <c r="AB553" i="1"/>
  <c r="Y523" i="1"/>
  <c r="AB299" i="1"/>
  <c r="Y299" i="1"/>
  <c r="AB294" i="1"/>
  <c r="P107" i="1"/>
  <c r="I850" i="1"/>
  <c r="F850" i="1"/>
  <c r="I768" i="1"/>
  <c r="F768" i="1"/>
  <c r="I696" i="1"/>
  <c r="I593" i="1"/>
  <c r="F578" i="1"/>
  <c r="I569" i="1"/>
  <c r="I553" i="1"/>
  <c r="F553" i="1"/>
  <c r="I542" i="1"/>
  <c r="F542" i="1"/>
  <c r="F458" i="1"/>
  <c r="I458" i="1"/>
  <c r="I425" i="1"/>
  <c r="F425" i="1"/>
  <c r="F396" i="1"/>
  <c r="F397" i="1"/>
  <c r="F399" i="1"/>
  <c r="I399" i="1"/>
  <c r="I396" i="1"/>
  <c r="F211" i="1"/>
  <c r="I211" i="1"/>
  <c r="I79" i="1"/>
  <c r="F79" i="1"/>
  <c r="I23" i="1"/>
  <c r="F23" i="1"/>
  <c r="F852" i="1"/>
  <c r="AB825" i="1"/>
  <c r="I825" i="1"/>
  <c r="I816" i="1"/>
  <c r="F816" i="1"/>
  <c r="Y797" i="1"/>
  <c r="AB797" i="1"/>
  <c r="I788" i="1"/>
  <c r="F788" i="1"/>
  <c r="F782" i="1"/>
  <c r="AB760" i="1"/>
  <c r="AB700" i="1"/>
  <c r="I700" i="1"/>
  <c r="F700" i="1"/>
  <c r="Y668" i="1"/>
  <c r="AB668" i="1"/>
  <c r="Y664" i="1"/>
  <c r="Y661" i="1"/>
  <c r="AB661" i="1"/>
  <c r="Y512" i="1"/>
  <c r="AB523" i="1"/>
  <c r="Y460" i="1"/>
  <c r="AB460" i="1"/>
  <c r="F460" i="1"/>
  <c r="I460" i="1"/>
  <c r="Y408" i="1"/>
  <c r="Y395" i="1"/>
  <c r="I299" i="1"/>
  <c r="F299" i="1"/>
  <c r="Y269" i="1"/>
  <c r="Y283" i="1"/>
  <c r="AB269" i="1"/>
  <c r="AB283" i="1"/>
  <c r="I269" i="1"/>
  <c r="F269" i="1"/>
  <c r="Y172" i="1"/>
  <c r="AB147" i="1"/>
  <c r="Y147" i="1"/>
  <c r="I147" i="1"/>
  <c r="F147" i="1"/>
  <c r="Y145" i="1"/>
  <c r="AB145" i="1"/>
  <c r="AB121" i="1"/>
  <c r="Y121" i="1"/>
  <c r="Y88" i="1"/>
  <c r="I31" i="1"/>
  <c r="F31" i="1"/>
  <c r="AB26" i="1"/>
  <c r="AB24" i="1"/>
  <c r="F24" i="1"/>
  <c r="I24" i="1"/>
  <c r="Y22" i="1"/>
  <c r="I22" i="1"/>
  <c r="F22" i="1"/>
  <c r="F10" i="1"/>
  <c r="I10" i="1"/>
  <c r="F8" i="1"/>
  <c r="F637" i="1"/>
  <c r="Y359" i="1"/>
  <c r="F876" i="1"/>
  <c r="I717" i="1"/>
  <c r="F717" i="1"/>
  <c r="I691" i="1"/>
  <c r="I668" i="1"/>
  <c r="F668" i="1"/>
  <c r="I557" i="1"/>
  <c r="I405" i="1" l="1"/>
  <c r="I395" i="1"/>
  <c r="F395" i="1"/>
  <c r="I349" i="1"/>
  <c r="I300" i="1" l="1"/>
  <c r="F300" i="1"/>
  <c r="F239" i="1"/>
  <c r="F53" i="1" l="1"/>
  <c r="F496" i="1" l="1"/>
  <c r="F829" i="1" l="1"/>
  <c r="F825" i="1"/>
  <c r="F761" i="1"/>
  <c r="I633" i="1"/>
  <c r="F633" i="1"/>
  <c r="F607" i="1"/>
  <c r="F604" i="1"/>
  <c r="I604" i="1"/>
  <c r="I592" i="1"/>
  <c r="F592" i="1"/>
  <c r="I563" i="1"/>
  <c r="F563" i="1"/>
  <c r="F508" i="1"/>
  <c r="I508" i="1"/>
  <c r="I496" i="1"/>
  <c r="I351" i="1"/>
  <c r="I291" i="1"/>
  <c r="F291" i="1"/>
  <c r="Y265" i="1" l="1"/>
  <c r="AB265" i="1"/>
  <c r="F172" i="1"/>
  <c r="F108" i="1" l="1"/>
  <c r="I108" i="1"/>
  <c r="I88" i="1"/>
  <c r="F88" i="1"/>
  <c r="I53" i="1"/>
  <c r="Y825" i="1"/>
  <c r="Y760" i="1"/>
  <c r="AB633" i="1"/>
  <c r="Y633" i="1"/>
  <c r="Y496" i="1"/>
  <c r="Y497" i="1"/>
  <c r="Y500" i="1"/>
  <c r="AB563" i="1"/>
  <c r="AB496" i="1"/>
  <c r="F208" i="1"/>
  <c r="AB208" i="1"/>
  <c r="Y144" i="1"/>
  <c r="AB36" i="1"/>
  <c r="Y34" i="1"/>
  <c r="F26" i="1"/>
  <c r="AB880" i="1" l="1"/>
  <c r="Y880" i="1"/>
  <c r="I880" i="1"/>
  <c r="F880" i="1"/>
  <c r="F856" i="1"/>
  <c r="F851" i="1"/>
  <c r="F834" i="1"/>
  <c r="I797" i="1"/>
  <c r="F797" i="1"/>
  <c r="F667" i="1"/>
  <c r="F669" i="1"/>
  <c r="F670" i="1"/>
  <c r="I670" i="1"/>
  <c r="F664" i="1"/>
  <c r="I644" i="1"/>
  <c r="F644" i="1"/>
  <c r="F502" i="1"/>
  <c r="I502" i="1"/>
  <c r="AB452" i="1"/>
  <c r="AB497" i="1"/>
  <c r="I413" i="1" l="1"/>
  <c r="I350" i="1"/>
  <c r="F350" i="1"/>
  <c r="I307" i="1"/>
  <c r="F307" i="1"/>
  <c r="F279" i="1"/>
  <c r="I243" i="1"/>
  <c r="Y115" i="1"/>
  <c r="F74" i="1"/>
  <c r="I49" i="1"/>
  <c r="I47" i="1"/>
  <c r="F47" i="1"/>
  <c r="F46" i="1"/>
  <c r="I46" i="1"/>
  <c r="I26" i="1"/>
  <c r="Y885" i="1" l="1"/>
  <c r="AB885" i="1"/>
  <c r="AB804" i="1"/>
  <c r="Y804" i="1"/>
  <c r="AB787" i="1"/>
  <c r="Y787" i="1"/>
  <c r="AB667" i="1"/>
  <c r="Y667" i="1"/>
  <c r="Y655" i="1"/>
  <c r="Y452" i="1"/>
  <c r="Y366" i="1"/>
  <c r="AB366" i="1"/>
  <c r="Y347" i="1"/>
  <c r="AB346" i="1"/>
  <c r="Y346" i="1"/>
  <c r="Y303" i="1"/>
  <c r="AB303" i="1"/>
  <c r="AB144" i="1"/>
  <c r="AB268" i="1"/>
  <c r="Y268" i="1"/>
  <c r="Y52" i="1"/>
  <c r="AB52" i="1"/>
  <c r="AB34" i="1"/>
  <c r="Y127" i="1"/>
  <c r="I885" i="1"/>
  <c r="F885" i="1"/>
  <c r="I849" i="1"/>
  <c r="I812" i="1"/>
  <c r="F812" i="1"/>
  <c r="F805" i="1"/>
  <c r="I761" i="1"/>
  <c r="I714" i="1"/>
  <c r="I713" i="1"/>
  <c r="F713" i="1"/>
  <c r="I660" i="1"/>
  <c r="F657" i="1"/>
  <c r="I456" i="1"/>
  <c r="F456" i="1"/>
  <c r="I434" i="1"/>
  <c r="I414" i="1"/>
  <c r="F414" i="1"/>
  <c r="F413" i="1"/>
  <c r="I409" i="1"/>
  <c r="F409" i="1"/>
  <c r="I279" i="1"/>
  <c r="I273" i="1"/>
  <c r="F273" i="1"/>
  <c r="F165" i="1"/>
  <c r="F116" i="1"/>
  <c r="I116" i="1"/>
  <c r="I75" i="1"/>
  <c r="I76" i="1"/>
  <c r="F75" i="1"/>
  <c r="F76" i="1"/>
  <c r="I760" i="1"/>
  <c r="F760" i="1"/>
  <c r="S863" i="1"/>
  <c r="P863" i="1"/>
  <c r="I863" i="1"/>
  <c r="F863" i="1"/>
  <c r="F849" i="1"/>
  <c r="P848" i="1"/>
  <c r="F848" i="1"/>
  <c r="S842" i="1"/>
  <c r="P842" i="1"/>
  <c r="I842" i="1"/>
  <c r="F842" i="1"/>
  <c r="P814" i="1"/>
  <c r="S814" i="1"/>
  <c r="F814" i="1"/>
  <c r="I814" i="1"/>
  <c r="S798" i="1"/>
  <c r="P798" i="1"/>
  <c r="P763" i="1"/>
  <c r="S763" i="1"/>
  <c r="I763" i="1"/>
  <c r="F763" i="1"/>
  <c r="P739" i="1"/>
  <c r="F739" i="1"/>
  <c r="S709" i="1"/>
  <c r="P709" i="1"/>
  <c r="I709" i="1"/>
  <c r="F709" i="1"/>
  <c r="S685" i="1"/>
  <c r="P685" i="1"/>
  <c r="I685" i="1"/>
  <c r="F685" i="1"/>
  <c r="S667" i="1"/>
  <c r="S669" i="1"/>
  <c r="P669" i="1"/>
  <c r="I669" i="1"/>
  <c r="S619" i="1"/>
  <c r="I619" i="1"/>
  <c r="P589" i="1"/>
  <c r="F589" i="1"/>
  <c r="P131" i="1"/>
  <c r="P23" i="1"/>
  <c r="S572" i="1"/>
  <c r="I572" i="1"/>
  <c r="P497" i="1"/>
  <c r="S466" i="1"/>
  <c r="P466" i="1"/>
  <c r="I466" i="1"/>
  <c r="F466" i="1"/>
  <c r="S465" i="1"/>
  <c r="P465" i="1"/>
  <c r="I465" i="1"/>
  <c r="F465" i="1"/>
  <c r="F424" i="1"/>
  <c r="S423" i="1"/>
  <c r="P423" i="1"/>
  <c r="P424" i="1"/>
  <c r="I423" i="1"/>
  <c r="F423" i="1"/>
  <c r="S394" i="1"/>
  <c r="P394" i="1"/>
  <c r="I394" i="1"/>
  <c r="F394" i="1"/>
  <c r="I310" i="1"/>
  <c r="F310" i="1"/>
  <c r="I283" i="1"/>
  <c r="S272" i="1"/>
  <c r="P272" i="1"/>
  <c r="P274" i="1"/>
  <c r="F257" i="1"/>
  <c r="I165" i="1"/>
  <c r="F131" i="1"/>
  <c r="F123" i="1"/>
  <c r="I52" i="1"/>
  <c r="F52" i="1"/>
  <c r="S51" i="1"/>
  <c r="P51" i="1"/>
  <c r="I51" i="1"/>
  <c r="F51" i="1"/>
  <c r="I874" i="1"/>
  <c r="F874" i="1"/>
  <c r="S857" i="1"/>
  <c r="I857" i="1"/>
  <c r="P804" i="1"/>
  <c r="S804" i="1"/>
  <c r="I804" i="1"/>
  <c r="F804" i="1"/>
  <c r="I798" i="1"/>
  <c r="I787" i="1"/>
  <c r="F787" i="1"/>
  <c r="P742" i="1"/>
  <c r="I742" i="1"/>
  <c r="F742" i="1"/>
  <c r="P705" i="1"/>
  <c r="F705" i="1"/>
  <c r="P677" i="1"/>
  <c r="I677" i="1"/>
  <c r="F677" i="1"/>
  <c r="S661" i="1"/>
  <c r="P541" i="1"/>
  <c r="S539" i="1"/>
  <c r="P539" i="1"/>
  <c r="F539" i="1"/>
  <c r="I539" i="1"/>
  <c r="I497" i="1"/>
  <c r="F497" i="1"/>
  <c r="P504" i="1"/>
  <c r="F504" i="1"/>
  <c r="I452" i="1"/>
  <c r="F452" i="1"/>
  <c r="S412" i="1"/>
  <c r="P408" i="1"/>
  <c r="P347" i="1"/>
  <c r="S315" i="1"/>
  <c r="P315" i="1"/>
  <c r="I315" i="1"/>
  <c r="F315" i="1"/>
  <c r="P297" i="1"/>
  <c r="P294" i="1"/>
  <c r="P283" i="1"/>
  <c r="F283" i="1"/>
  <c r="I265" i="1"/>
  <c r="F265" i="1"/>
  <c r="F92" i="1"/>
  <c r="S43" i="1"/>
  <c r="P43" i="1"/>
  <c r="S5" i="1"/>
  <c r="P4" i="1"/>
  <c r="P5" i="1"/>
  <c r="S887" i="1"/>
  <c r="F881" i="1"/>
  <c r="S869" i="1"/>
  <c r="I869" i="1"/>
  <c r="F869" i="1"/>
  <c r="P862" i="1"/>
  <c r="F862" i="1"/>
  <c r="P857" i="1"/>
  <c r="F857" i="1"/>
  <c r="P752" i="1"/>
  <c r="I752" i="1"/>
  <c r="F752" i="1"/>
  <c r="S733" i="1"/>
  <c r="P733" i="1"/>
  <c r="I733" i="1"/>
  <c r="F733" i="1"/>
  <c r="P619" i="1"/>
  <c r="F619" i="1"/>
  <c r="P585" i="1"/>
  <c r="S585" i="1"/>
  <c r="F585" i="1"/>
  <c r="I585" i="1"/>
  <c r="I541" i="1"/>
  <c r="F541" i="1"/>
  <c r="S445" i="1"/>
  <c r="P445" i="1"/>
  <c r="I445" i="1"/>
  <c r="F445" i="1"/>
  <c r="I408" i="1"/>
  <c r="F408" i="1"/>
  <c r="S407" i="1"/>
  <c r="P407" i="1"/>
  <c r="I407" i="1"/>
  <c r="F407" i="1"/>
  <c r="P359" i="1"/>
  <c r="S359" i="1"/>
  <c r="I359" i="1"/>
  <c r="F359" i="1"/>
  <c r="S354" i="1"/>
  <c r="P354" i="1"/>
  <c r="I354" i="1"/>
  <c r="F354" i="1"/>
  <c r="P349" i="1"/>
  <c r="F349" i="1"/>
  <c r="S345" i="1"/>
  <c r="S318" i="1"/>
  <c r="P318" i="1"/>
  <c r="S303" i="1"/>
  <c r="P303" i="1"/>
  <c r="I294" i="1"/>
  <c r="I36" i="1"/>
  <c r="F36" i="1"/>
  <c r="P32" i="1"/>
  <c r="S4" i="1"/>
  <c r="I4" i="1"/>
  <c r="I5" i="1"/>
  <c r="F4" i="1"/>
  <c r="F5" i="1"/>
  <c r="F9" i="1"/>
  <c r="P571" i="1"/>
  <c r="F571" i="1"/>
  <c r="S762" i="1"/>
  <c r="S559" i="1"/>
  <c r="P559" i="1"/>
  <c r="I559" i="1"/>
  <c r="F559" i="1"/>
  <c r="S540" i="1"/>
  <c r="P540" i="1"/>
  <c r="I540" i="1"/>
  <c r="F540" i="1"/>
  <c r="S535" i="1"/>
  <c r="P535" i="1"/>
  <c r="I535" i="1"/>
  <c r="F535" i="1"/>
  <c r="S500" i="1"/>
  <c r="P500" i="1"/>
  <c r="S453" i="1"/>
  <c r="P453" i="1"/>
  <c r="I453" i="1"/>
  <c r="F453" i="1"/>
  <c r="P439" i="1"/>
  <c r="S439" i="1"/>
  <c r="I439" i="1"/>
  <c r="F439" i="1"/>
  <c r="P389" i="1"/>
  <c r="S384" i="1"/>
  <c r="S378" i="1"/>
  <c r="P378" i="1"/>
  <c r="I378" i="1"/>
  <c r="F378" i="1"/>
  <c r="F372" i="1"/>
  <c r="S372" i="1"/>
  <c r="I372" i="1"/>
  <c r="S366" i="1"/>
  <c r="P366" i="1"/>
  <c r="P353" i="1"/>
  <c r="F353" i="1"/>
  <c r="P305" i="1"/>
  <c r="S281" i="1"/>
  <c r="P281" i="1"/>
  <c r="I281" i="1"/>
  <c r="F281" i="1"/>
  <c r="I237" i="1"/>
  <c r="F237" i="1"/>
  <c r="S204" i="1"/>
  <c r="P204" i="1"/>
  <c r="S162" i="1"/>
  <c r="P162" i="1"/>
  <c r="I162" i="1"/>
  <c r="F162" i="1"/>
  <c r="S137" i="1"/>
  <c r="P137" i="1"/>
  <c r="I137" i="1"/>
  <c r="F137" i="1"/>
  <c r="I115" i="1"/>
  <c r="F115" i="1"/>
  <c r="S109" i="1"/>
  <c r="P109" i="1"/>
  <c r="I95" i="1"/>
  <c r="I802" i="1"/>
  <c r="F802" i="1"/>
  <c r="F798" i="1"/>
  <c r="S758" i="1"/>
  <c r="P758" i="1"/>
  <c r="I758" i="1"/>
  <c r="F758" i="1"/>
  <c r="P737" i="1"/>
  <c r="I737" i="1"/>
  <c r="F737" i="1"/>
  <c r="S716" i="1"/>
  <c r="P716" i="1"/>
  <c r="P715" i="1"/>
  <c r="P704" i="1"/>
  <c r="F704" i="1"/>
  <c r="P703" i="1"/>
  <c r="F703" i="1"/>
  <c r="P661" i="1"/>
  <c r="S605" i="1"/>
  <c r="P605" i="1"/>
  <c r="S554" i="1"/>
  <c r="P554" i="1"/>
  <c r="I554" i="1"/>
  <c r="F554" i="1"/>
  <c r="S462" i="1"/>
  <c r="P462" i="1"/>
  <c r="I462" i="1"/>
  <c r="F462" i="1"/>
  <c r="P448" i="1"/>
  <c r="F448" i="1"/>
  <c r="P437" i="1"/>
  <c r="S437" i="1"/>
  <c r="I437" i="1"/>
  <c r="F437" i="1"/>
  <c r="P430" i="1"/>
  <c r="F430" i="1"/>
  <c r="P416" i="1"/>
  <c r="P401" i="1"/>
  <c r="F401" i="1"/>
  <c r="P345" i="1"/>
  <c r="S314" i="1"/>
  <c r="S319" i="1"/>
  <c r="S323" i="1"/>
  <c r="I318" i="1"/>
  <c r="F318" i="1"/>
  <c r="F306" i="1"/>
  <c r="P302" i="1"/>
  <c r="F278" i="1"/>
  <c r="S266" i="1"/>
  <c r="P266" i="1"/>
  <c r="P264" i="1"/>
  <c r="S263" i="1"/>
  <c r="P263" i="1"/>
  <c r="I263" i="1"/>
  <c r="F263" i="1"/>
  <c r="S262" i="1"/>
  <c r="P262" i="1"/>
  <c r="I262" i="1"/>
  <c r="F262" i="1"/>
  <c r="S255" i="1"/>
  <c r="P255" i="1"/>
  <c r="P249" i="1"/>
  <c r="S227" i="1"/>
  <c r="S214" i="1"/>
  <c r="P214" i="1"/>
  <c r="I214" i="1"/>
  <c r="F214" i="1"/>
  <c r="P161" i="1"/>
  <c r="F161" i="1"/>
  <c r="I145" i="1"/>
  <c r="F145" i="1"/>
  <c r="P142" i="1"/>
  <c r="F142" i="1"/>
  <c r="P127" i="1"/>
  <c r="P58" i="1"/>
  <c r="F58" i="1"/>
  <c r="S872" i="1"/>
  <c r="I872" i="1"/>
  <c r="S871" i="1"/>
  <c r="I871" i="1"/>
  <c r="P747" i="1"/>
  <c r="F747" i="1"/>
  <c r="S683" i="1"/>
  <c r="P683" i="1"/>
  <c r="P667" i="1"/>
  <c r="F661" i="1"/>
  <c r="I661" i="1"/>
  <c r="F652" i="1"/>
  <c r="P643" i="1"/>
  <c r="F643" i="1"/>
  <c r="S606" i="1"/>
  <c r="P606" i="1"/>
  <c r="I500" i="1"/>
  <c r="F500" i="1"/>
  <c r="F472" i="1"/>
  <c r="I454" i="1"/>
  <c r="F454" i="1"/>
  <c r="I412" i="1"/>
  <c r="I389" i="1"/>
  <c r="F389" i="1"/>
  <c r="P372" i="1"/>
  <c r="P324" i="1"/>
  <c r="F313" i="1"/>
  <c r="I266" i="1"/>
  <c r="F266" i="1"/>
  <c r="I204" i="1"/>
  <c r="I141" i="1"/>
  <c r="P104" i="1"/>
  <c r="F95" i="1"/>
  <c r="I32" i="1"/>
  <c r="F32" i="1"/>
  <c r="I30" i="1"/>
  <c r="F30" i="1"/>
  <c r="I13" i="1"/>
  <c r="S870" i="1"/>
  <c r="I870" i="1"/>
  <c r="F870" i="1"/>
  <c r="P780" i="1"/>
  <c r="P770" i="1"/>
  <c r="P762" i="1"/>
  <c r="P725" i="1"/>
  <c r="F725" i="1"/>
  <c r="I673" i="1"/>
  <c r="F673" i="1"/>
  <c r="F672" i="1"/>
  <c r="I672" i="1"/>
  <c r="I653" i="1"/>
  <c r="F653" i="1"/>
  <c r="P641" i="1"/>
  <c r="S552" i="1"/>
  <c r="I457" i="1"/>
  <c r="F457" i="1"/>
  <c r="I416" i="1"/>
  <c r="F416" i="1"/>
  <c r="P346" i="1"/>
  <c r="S346" i="1"/>
  <c r="F305" i="1"/>
  <c r="S302" i="1"/>
  <c r="I270" i="1"/>
  <c r="F270" i="1"/>
  <c r="S210" i="1"/>
  <c r="P210" i="1"/>
  <c r="I210" i="1"/>
  <c r="F210" i="1"/>
  <c r="P178" i="1"/>
  <c r="F178" i="1"/>
  <c r="P172" i="1"/>
  <c r="F141" i="1"/>
  <c r="S91" i="1"/>
  <c r="S77" i="1"/>
  <c r="P77" i="1"/>
  <c r="I77" i="1"/>
  <c r="F77" i="1"/>
  <c r="P50" i="1"/>
  <c r="F50" i="1"/>
  <c r="I50" i="1"/>
  <c r="S11" i="1"/>
  <c r="I11" i="1"/>
  <c r="F11" i="1"/>
  <c r="S806" i="1"/>
  <c r="P806" i="1"/>
  <c r="I806" i="1"/>
  <c r="F806" i="1"/>
  <c r="I631" i="1"/>
  <c r="I873" i="1"/>
  <c r="I832" i="1"/>
  <c r="S766" i="1"/>
  <c r="S780" i="1"/>
  <c r="S803" i="1"/>
  <c r="S846" i="1"/>
  <c r="S878" i="1"/>
  <c r="S882" i="1"/>
  <c r="P759" i="1"/>
  <c r="P766" i="1"/>
  <c r="P803" i="1"/>
  <c r="P846" i="1"/>
  <c r="P878" i="1"/>
  <c r="P882" i="1"/>
  <c r="P887" i="1"/>
  <c r="I748" i="1"/>
  <c r="I750" i="1"/>
  <c r="I755" i="1"/>
  <c r="I756" i="1"/>
  <c r="I757" i="1"/>
  <c r="I762" i="1"/>
  <c r="I764" i="1"/>
  <c r="I765" i="1"/>
  <c r="I766" i="1"/>
  <c r="I767" i="1"/>
  <c r="I769" i="1"/>
  <c r="I770" i="1"/>
  <c r="I771" i="1"/>
  <c r="I772" i="1"/>
  <c r="I774" i="1"/>
  <c r="I775" i="1"/>
  <c r="I776" i="1"/>
  <c r="I777" i="1"/>
  <c r="I778" i="1"/>
  <c r="I779" i="1"/>
  <c r="I780" i="1"/>
  <c r="I781" i="1"/>
  <c r="I784" i="1"/>
  <c r="I785" i="1"/>
  <c r="I789" i="1"/>
  <c r="I790" i="1"/>
  <c r="I791" i="1"/>
  <c r="I792" i="1"/>
  <c r="I793" i="1"/>
  <c r="I794" i="1"/>
  <c r="I803" i="1"/>
  <c r="I808" i="1"/>
  <c r="I809" i="1"/>
  <c r="I811" i="1"/>
  <c r="I813" i="1"/>
  <c r="I815" i="1"/>
  <c r="I817" i="1"/>
  <c r="I818" i="1"/>
  <c r="I819" i="1"/>
  <c r="I820" i="1"/>
  <c r="I822" i="1"/>
  <c r="I823" i="1"/>
  <c r="I827" i="1"/>
  <c r="I831" i="1"/>
  <c r="I836" i="1"/>
  <c r="I838" i="1"/>
  <c r="I841" i="1"/>
  <c r="I845" i="1"/>
  <c r="I846" i="1"/>
  <c r="I847" i="1"/>
  <c r="I854" i="1"/>
  <c r="I855" i="1"/>
  <c r="I859" i="1"/>
  <c r="I861" i="1"/>
  <c r="I864" i="1"/>
  <c r="I865" i="1"/>
  <c r="I875" i="1"/>
  <c r="I878" i="1"/>
  <c r="I879" i="1"/>
  <c r="I882" i="1"/>
  <c r="I884" i="1"/>
  <c r="I886" i="1"/>
  <c r="I887" i="1"/>
  <c r="I888" i="1"/>
  <c r="F748" i="1"/>
  <c r="F750" i="1"/>
  <c r="F755" i="1"/>
  <c r="F756" i="1"/>
  <c r="F757" i="1"/>
  <c r="F759" i="1"/>
  <c r="F762" i="1"/>
  <c r="F764" i="1"/>
  <c r="F765" i="1"/>
  <c r="F766" i="1"/>
  <c r="F767" i="1"/>
  <c r="F769" i="1"/>
  <c r="F770" i="1"/>
  <c r="F771" i="1"/>
  <c r="F772" i="1"/>
  <c r="F774" i="1"/>
  <c r="F775" i="1"/>
  <c r="F776" i="1"/>
  <c r="F777" i="1"/>
  <c r="F778" i="1"/>
  <c r="F779" i="1"/>
  <c r="F780" i="1"/>
  <c r="F781" i="1"/>
  <c r="F783" i="1"/>
  <c r="F784" i="1"/>
  <c r="F785" i="1"/>
  <c r="F786" i="1"/>
  <c r="F789" i="1"/>
  <c r="F790" i="1"/>
  <c r="F791" i="1"/>
  <c r="F792" i="1"/>
  <c r="F793" i="1"/>
  <c r="F794" i="1"/>
  <c r="F795" i="1"/>
  <c r="F799" i="1"/>
  <c r="F803" i="1"/>
  <c r="F807" i="1"/>
  <c r="F808" i="1"/>
  <c r="F809" i="1"/>
  <c r="F810" i="1"/>
  <c r="F811" i="1"/>
  <c r="F813" i="1"/>
  <c r="F815" i="1"/>
  <c r="F817" i="1"/>
  <c r="F818" i="1"/>
  <c r="F819" i="1"/>
  <c r="F820" i="1"/>
  <c r="F821" i="1"/>
  <c r="F822" i="1"/>
  <c r="F823" i="1"/>
  <c r="F826" i="1"/>
  <c r="F827" i="1"/>
  <c r="F828" i="1"/>
  <c r="F830" i="1"/>
  <c r="F831" i="1"/>
  <c r="F832" i="1"/>
  <c r="F833" i="1"/>
  <c r="F836" i="1"/>
  <c r="F838" i="1"/>
  <c r="F841" i="1"/>
  <c r="F846" i="1"/>
  <c r="F847" i="1"/>
  <c r="F854" i="1"/>
  <c r="F855" i="1"/>
  <c r="F859" i="1"/>
  <c r="F861" i="1"/>
  <c r="F864" i="1"/>
  <c r="F865" i="1"/>
  <c r="F866" i="1"/>
  <c r="F868" i="1"/>
  <c r="F873" i="1"/>
  <c r="F875" i="1"/>
  <c r="F877" i="1"/>
  <c r="F878" i="1"/>
  <c r="F879" i="1"/>
  <c r="F882" i="1"/>
  <c r="F883" i="1"/>
  <c r="F884" i="1"/>
  <c r="F886" i="1"/>
  <c r="F887" i="1"/>
  <c r="F888" i="1"/>
  <c r="F889" i="1"/>
  <c r="S600" i="1"/>
  <c r="S612" i="1"/>
  <c r="S613" i="1"/>
  <c r="S637" i="1"/>
  <c r="S656" i="1"/>
  <c r="S688" i="1"/>
  <c r="S692" i="1"/>
  <c r="S695" i="1"/>
  <c r="S697" i="1"/>
  <c r="S718" i="1"/>
  <c r="S723" i="1"/>
  <c r="P600" i="1"/>
  <c r="P612" i="1"/>
  <c r="P613" i="1"/>
  <c r="P625" i="1"/>
  <c r="P637" i="1"/>
  <c r="P655" i="1"/>
  <c r="P656" i="1"/>
  <c r="P688" i="1"/>
  <c r="P689" i="1"/>
  <c r="P695" i="1"/>
  <c r="P697" i="1"/>
  <c r="P718" i="1"/>
  <c r="P723" i="1"/>
  <c r="P744" i="1"/>
  <c r="I599" i="1"/>
  <c r="I600" i="1"/>
  <c r="I603" i="1"/>
  <c r="I605" i="1"/>
  <c r="I606" i="1"/>
  <c r="I611" i="1"/>
  <c r="I612" i="1"/>
  <c r="I613" i="1"/>
  <c r="I614" i="1"/>
  <c r="I615" i="1"/>
  <c r="I617" i="1"/>
  <c r="I618" i="1"/>
  <c r="I620" i="1"/>
  <c r="I621" i="1"/>
  <c r="I622" i="1"/>
  <c r="I623" i="1"/>
  <c r="I624" i="1"/>
  <c r="I627" i="1"/>
  <c r="I628" i="1"/>
  <c r="I629" i="1"/>
  <c r="I632" i="1"/>
  <c r="I636" i="1"/>
  <c r="I637" i="1"/>
  <c r="I638" i="1"/>
  <c r="I639" i="1"/>
  <c r="I640" i="1"/>
  <c r="I641" i="1"/>
  <c r="I642" i="1"/>
  <c r="I645" i="1"/>
  <c r="I647" i="1"/>
  <c r="I648" i="1"/>
  <c r="I649" i="1"/>
  <c r="I650" i="1"/>
  <c r="I651" i="1"/>
  <c r="I654" i="1"/>
  <c r="I655" i="1"/>
  <c r="I656" i="1"/>
  <c r="I658" i="1"/>
  <c r="I659" i="1"/>
  <c r="I662" i="1"/>
  <c r="I663" i="1"/>
  <c r="I665" i="1"/>
  <c r="I667" i="1"/>
  <c r="I674" i="1"/>
  <c r="I675" i="1"/>
  <c r="I676" i="1"/>
  <c r="I679" i="1"/>
  <c r="I680" i="1"/>
  <c r="I681" i="1"/>
  <c r="I682" i="1"/>
  <c r="I683" i="1"/>
  <c r="I684" i="1"/>
  <c r="I686" i="1"/>
  <c r="I687" i="1"/>
  <c r="I688" i="1"/>
  <c r="I690" i="1"/>
  <c r="I692" i="1"/>
  <c r="I694" i="1"/>
  <c r="I695" i="1"/>
  <c r="I697" i="1"/>
  <c r="I698" i="1"/>
  <c r="I699" i="1"/>
  <c r="I702" i="1"/>
  <c r="I706" i="1"/>
  <c r="I707" i="1"/>
  <c r="I710" i="1"/>
  <c r="I715" i="1"/>
  <c r="I716" i="1"/>
  <c r="I718" i="1"/>
  <c r="I719" i="1"/>
  <c r="I722" i="1"/>
  <c r="I723" i="1"/>
  <c r="I726" i="1"/>
  <c r="I730" i="1"/>
  <c r="I735" i="1"/>
  <c r="I738" i="1"/>
  <c r="I743" i="1"/>
  <c r="I746" i="1"/>
  <c r="F599" i="1"/>
  <c r="F600" i="1"/>
  <c r="F603" i="1"/>
  <c r="F605" i="1"/>
  <c r="F606" i="1"/>
  <c r="F610" i="1"/>
  <c r="F611" i="1"/>
  <c r="F612" i="1"/>
  <c r="F613" i="1"/>
  <c r="F614" i="1"/>
  <c r="F615" i="1"/>
  <c r="F617" i="1"/>
  <c r="F618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6" i="1"/>
  <c r="F638" i="1"/>
  <c r="F639" i="1"/>
  <c r="F640" i="1"/>
  <c r="F641" i="1"/>
  <c r="F642" i="1"/>
  <c r="F645" i="1"/>
  <c r="F646" i="1"/>
  <c r="F647" i="1"/>
  <c r="F648" i="1"/>
  <c r="F649" i="1"/>
  <c r="F650" i="1"/>
  <c r="F651" i="1"/>
  <c r="F655" i="1"/>
  <c r="F656" i="1"/>
  <c r="F658" i="1"/>
  <c r="F659" i="1"/>
  <c r="F662" i="1"/>
  <c r="F663" i="1"/>
  <c r="F665" i="1"/>
  <c r="F671" i="1"/>
  <c r="F674" i="1"/>
  <c r="F675" i="1"/>
  <c r="F676" i="1"/>
  <c r="F678" i="1"/>
  <c r="F679" i="1"/>
  <c r="F680" i="1"/>
  <c r="F681" i="1"/>
  <c r="F682" i="1"/>
  <c r="F683" i="1"/>
  <c r="F684" i="1"/>
  <c r="F686" i="1"/>
  <c r="F687" i="1"/>
  <c r="F688" i="1"/>
  <c r="F689" i="1"/>
  <c r="F690" i="1"/>
  <c r="F694" i="1"/>
  <c r="F695" i="1"/>
  <c r="F697" i="1"/>
  <c r="F698" i="1"/>
  <c r="F699" i="1"/>
  <c r="F701" i="1"/>
  <c r="F702" i="1"/>
  <c r="F706" i="1"/>
  <c r="F707" i="1"/>
  <c r="F710" i="1"/>
  <c r="F715" i="1"/>
  <c r="F716" i="1"/>
  <c r="F718" i="1"/>
  <c r="F719" i="1"/>
  <c r="F721" i="1"/>
  <c r="F722" i="1"/>
  <c r="F723" i="1"/>
  <c r="F726" i="1"/>
  <c r="F730" i="1"/>
  <c r="F735" i="1"/>
  <c r="F738" i="1"/>
  <c r="F740" i="1"/>
  <c r="F741" i="1"/>
  <c r="F743" i="1"/>
  <c r="F744" i="1"/>
  <c r="F745" i="1"/>
  <c r="F746" i="1"/>
  <c r="S449" i="1"/>
  <c r="S480" i="1"/>
  <c r="S482" i="1"/>
  <c r="S498" i="1"/>
  <c r="S521" i="1"/>
  <c r="S523" i="1"/>
  <c r="S538" i="1"/>
  <c r="S579" i="1"/>
  <c r="S580" i="1"/>
  <c r="S582" i="1"/>
  <c r="S591" i="1"/>
  <c r="P482" i="1"/>
  <c r="P521" i="1"/>
  <c r="P523" i="1"/>
  <c r="P524" i="1"/>
  <c r="P526" i="1"/>
  <c r="P531" i="1"/>
  <c r="P538" i="1"/>
  <c r="P545" i="1"/>
  <c r="P579" i="1"/>
  <c r="P580" i="1"/>
  <c r="P581" i="1"/>
  <c r="P582" i="1"/>
  <c r="P591" i="1"/>
  <c r="P449" i="1"/>
  <c r="I440" i="1"/>
  <c r="I444" i="1"/>
  <c r="I449" i="1"/>
  <c r="I455" i="1"/>
  <c r="I461" i="1"/>
  <c r="I469" i="1"/>
  <c r="I473" i="1"/>
  <c r="I475" i="1"/>
  <c r="I476" i="1"/>
  <c r="I477" i="1"/>
  <c r="I478" i="1"/>
  <c r="I479" i="1"/>
  <c r="I480" i="1"/>
  <c r="I481" i="1"/>
  <c r="I482" i="1"/>
  <c r="I483" i="1"/>
  <c r="I484" i="1"/>
  <c r="I485" i="1"/>
  <c r="I487" i="1"/>
  <c r="I488" i="1"/>
  <c r="I489" i="1"/>
  <c r="I490" i="1"/>
  <c r="I491" i="1"/>
  <c r="I492" i="1"/>
  <c r="I494" i="1"/>
  <c r="I498" i="1"/>
  <c r="I501" i="1"/>
  <c r="I503" i="1"/>
  <c r="I505" i="1"/>
  <c r="I509" i="1"/>
  <c r="I511" i="1"/>
  <c r="I512" i="1"/>
  <c r="I515" i="1"/>
  <c r="I517" i="1"/>
  <c r="I518" i="1"/>
  <c r="I519" i="1"/>
  <c r="I520" i="1"/>
  <c r="I521" i="1"/>
  <c r="I525" i="1"/>
  <c r="I526" i="1"/>
  <c r="I527" i="1"/>
  <c r="I528" i="1"/>
  <c r="I529" i="1"/>
  <c r="I533" i="1"/>
  <c r="I536" i="1"/>
  <c r="I537" i="1"/>
  <c r="I538" i="1"/>
  <c r="I545" i="1"/>
  <c r="I551" i="1"/>
  <c r="I552" i="1"/>
  <c r="I555" i="1"/>
  <c r="I561" i="1"/>
  <c r="I565" i="1"/>
  <c r="I566" i="1"/>
  <c r="I568" i="1"/>
  <c r="I570" i="1"/>
  <c r="I574" i="1"/>
  <c r="I579" i="1"/>
  <c r="I580" i="1"/>
  <c r="I582" i="1"/>
  <c r="I591" i="1"/>
  <c r="I594" i="1"/>
  <c r="I595" i="1"/>
  <c r="I596" i="1"/>
  <c r="I597" i="1"/>
  <c r="I598" i="1"/>
  <c r="F440" i="1"/>
  <c r="F443" i="1"/>
  <c r="F444" i="1"/>
  <c r="F449" i="1"/>
  <c r="F455" i="1"/>
  <c r="F459" i="1"/>
  <c r="F461" i="1"/>
  <c r="F467" i="1"/>
  <c r="F469" i="1"/>
  <c r="F470" i="1"/>
  <c r="F471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7" i="1"/>
  <c r="F488" i="1"/>
  <c r="F489" i="1"/>
  <c r="F490" i="1"/>
  <c r="F491" i="1"/>
  <c r="F492" i="1"/>
  <c r="F494" i="1"/>
  <c r="F498" i="1"/>
  <c r="F499" i="1"/>
  <c r="F501" i="1"/>
  <c r="F503" i="1"/>
  <c r="F505" i="1"/>
  <c r="F509" i="1"/>
  <c r="F511" i="1"/>
  <c r="F512" i="1"/>
  <c r="F514" i="1"/>
  <c r="F515" i="1"/>
  <c r="F516" i="1"/>
  <c r="F517" i="1"/>
  <c r="F518" i="1"/>
  <c r="F519" i="1"/>
  <c r="F520" i="1"/>
  <c r="F521" i="1"/>
  <c r="F523" i="1"/>
  <c r="F524" i="1"/>
  <c r="F525" i="1"/>
  <c r="F526" i="1"/>
  <c r="F527" i="1"/>
  <c r="F528" i="1"/>
  <c r="F529" i="1"/>
  <c r="F530" i="1"/>
  <c r="F531" i="1"/>
  <c r="F532" i="1"/>
  <c r="F533" i="1"/>
  <c r="F536" i="1"/>
  <c r="F537" i="1"/>
  <c r="F538" i="1"/>
  <c r="F545" i="1"/>
  <c r="F546" i="1"/>
  <c r="F551" i="1"/>
  <c r="F552" i="1"/>
  <c r="F555" i="1"/>
  <c r="F558" i="1"/>
  <c r="F560" i="1"/>
  <c r="F561" i="1"/>
  <c r="F564" i="1"/>
  <c r="F565" i="1"/>
  <c r="F567" i="1"/>
  <c r="F568" i="1"/>
  <c r="F570" i="1"/>
  <c r="F573" i="1"/>
  <c r="F574" i="1"/>
  <c r="F579" i="1"/>
  <c r="F580" i="1"/>
  <c r="F581" i="1"/>
  <c r="F582" i="1"/>
  <c r="F583" i="1"/>
  <c r="F588" i="1"/>
  <c r="F590" i="1"/>
  <c r="F591" i="1"/>
  <c r="F594" i="1"/>
  <c r="F595" i="1"/>
  <c r="F596" i="1"/>
  <c r="F597" i="1"/>
  <c r="F598" i="1"/>
  <c r="I436" i="1"/>
  <c r="F436" i="1"/>
  <c r="F229" i="1"/>
  <c r="F220" i="1"/>
  <c r="S34" i="1"/>
  <c r="S69" i="1"/>
  <c r="S71" i="1"/>
  <c r="S72" i="1"/>
  <c r="S80" i="1"/>
  <c r="S93" i="1"/>
  <c r="S97" i="1"/>
  <c r="S101" i="1"/>
  <c r="S102" i="1"/>
  <c r="S105" i="1"/>
  <c r="S117" i="1"/>
  <c r="S144" i="1"/>
  <c r="S146" i="1"/>
  <c r="S152" i="1"/>
  <c r="S154" i="1"/>
  <c r="S180" i="1"/>
  <c r="S181" i="1"/>
  <c r="S185" i="1"/>
  <c r="S193" i="1"/>
  <c r="S197" i="1"/>
  <c r="S268" i="1"/>
  <c r="S271" i="1"/>
  <c r="S276" i="1"/>
  <c r="S278" i="1"/>
  <c r="S286" i="1"/>
  <c r="S328" i="1"/>
  <c r="S347" i="1"/>
  <c r="S362" i="1"/>
  <c r="S363" i="1"/>
  <c r="S371" i="1"/>
  <c r="S418" i="1"/>
  <c r="S435" i="1"/>
  <c r="P34" i="1"/>
  <c r="P69" i="1"/>
  <c r="P71" i="1"/>
  <c r="P72" i="1"/>
  <c r="P73" i="1"/>
  <c r="P80" i="1"/>
  <c r="P87" i="1"/>
  <c r="P91" i="1"/>
  <c r="P101" i="1"/>
  <c r="P102" i="1"/>
  <c r="P105" i="1"/>
  <c r="P117" i="1"/>
  <c r="P122" i="1"/>
  <c r="P144" i="1"/>
  <c r="P146" i="1"/>
  <c r="P152" i="1"/>
  <c r="P154" i="1"/>
  <c r="P155" i="1"/>
  <c r="P171" i="1"/>
  <c r="P179" i="1"/>
  <c r="P180" i="1"/>
  <c r="P181" i="1"/>
  <c r="P185" i="1"/>
  <c r="P191" i="1"/>
  <c r="P193" i="1"/>
  <c r="P197" i="1"/>
  <c r="P220" i="1"/>
  <c r="P227" i="1"/>
  <c r="P268" i="1"/>
  <c r="P278" i="1"/>
  <c r="P286" i="1"/>
  <c r="P317" i="1"/>
  <c r="P319" i="1"/>
  <c r="P328" i="1"/>
  <c r="P356" i="1"/>
  <c r="P362" i="1"/>
  <c r="P363" i="1"/>
  <c r="P371" i="1"/>
  <c r="P379" i="1"/>
  <c r="P383" i="1"/>
  <c r="P384" i="1"/>
  <c r="P385" i="1"/>
  <c r="P418" i="1"/>
  <c r="I63" i="1"/>
  <c r="I65" i="1"/>
  <c r="I66" i="1"/>
  <c r="I69" i="1"/>
  <c r="I70" i="1"/>
  <c r="I71" i="1"/>
  <c r="I72" i="1"/>
  <c r="I80" i="1"/>
  <c r="I83" i="1"/>
  <c r="I84" i="1"/>
  <c r="I85" i="1"/>
  <c r="I87" i="1"/>
  <c r="I89" i="1"/>
  <c r="I91" i="1"/>
  <c r="I93" i="1"/>
  <c r="I97" i="1"/>
  <c r="I98" i="1"/>
  <c r="I99" i="1"/>
  <c r="I100" i="1"/>
  <c r="I101" i="1"/>
  <c r="I102" i="1"/>
  <c r="I103" i="1"/>
  <c r="I104" i="1"/>
  <c r="I105" i="1"/>
  <c r="I107" i="1"/>
  <c r="I109" i="1"/>
  <c r="I110" i="1"/>
  <c r="I111" i="1"/>
  <c r="I112" i="1"/>
  <c r="I113" i="1"/>
  <c r="I117" i="1"/>
  <c r="I118" i="1"/>
  <c r="I119" i="1"/>
  <c r="I121" i="1"/>
  <c r="I122" i="1"/>
  <c r="I124" i="1"/>
  <c r="I125" i="1"/>
  <c r="I126" i="1"/>
  <c r="I130" i="1"/>
  <c r="I134" i="1"/>
  <c r="I135" i="1"/>
  <c r="I140" i="1"/>
  <c r="I144" i="1"/>
  <c r="I146" i="1"/>
  <c r="I150" i="1"/>
  <c r="I152" i="1"/>
  <c r="I154" i="1"/>
  <c r="I156" i="1"/>
  <c r="I157" i="1"/>
  <c r="I158" i="1"/>
  <c r="I160" i="1"/>
  <c r="I163" i="1"/>
  <c r="I167" i="1"/>
  <c r="I168" i="1"/>
  <c r="I170" i="1"/>
  <c r="I172" i="1"/>
  <c r="I173" i="1"/>
  <c r="I174" i="1"/>
  <c r="I175" i="1"/>
  <c r="I176" i="1"/>
  <c r="I180" i="1"/>
  <c r="I181" i="1"/>
  <c r="I183" i="1"/>
  <c r="I184" i="1"/>
  <c r="I185" i="1"/>
  <c r="I188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3" i="1"/>
  <c r="I209" i="1"/>
  <c r="I216" i="1"/>
  <c r="I221" i="1"/>
  <c r="I222" i="1"/>
  <c r="I223" i="1"/>
  <c r="I225" i="1"/>
  <c r="I226" i="1"/>
  <c r="I227" i="1"/>
  <c r="I228" i="1"/>
  <c r="I229" i="1"/>
  <c r="I230" i="1"/>
  <c r="I232" i="1"/>
  <c r="I233" i="1"/>
  <c r="I235" i="1"/>
  <c r="I236" i="1"/>
  <c r="I241" i="1"/>
  <c r="I242" i="1"/>
  <c r="I246" i="1"/>
  <c r="I247" i="1"/>
  <c r="I249" i="1"/>
  <c r="I251" i="1"/>
  <c r="I252" i="1"/>
  <c r="I253" i="1"/>
  <c r="I255" i="1"/>
  <c r="I256" i="1"/>
  <c r="I258" i="1"/>
  <c r="I259" i="1"/>
  <c r="I260" i="1"/>
  <c r="I268" i="1"/>
  <c r="I271" i="1"/>
  <c r="I272" i="1"/>
  <c r="I274" i="1"/>
  <c r="I275" i="1"/>
  <c r="I276" i="1"/>
  <c r="I277" i="1"/>
  <c r="I278" i="1"/>
  <c r="I280" i="1"/>
  <c r="I282" i="1"/>
  <c r="I284" i="1"/>
  <c r="I285" i="1"/>
  <c r="I286" i="1"/>
  <c r="I287" i="1"/>
  <c r="I288" i="1"/>
  <c r="I289" i="1"/>
  <c r="I290" i="1"/>
  <c r="I296" i="1"/>
  <c r="I297" i="1"/>
  <c r="I298" i="1"/>
  <c r="I301" i="1"/>
  <c r="I302" i="1"/>
  <c r="I303" i="1"/>
  <c r="I304" i="1"/>
  <c r="I312" i="1"/>
  <c r="I314" i="1"/>
  <c r="I316" i="1"/>
  <c r="I317" i="1"/>
  <c r="I319" i="1"/>
  <c r="I322" i="1"/>
  <c r="I323" i="1"/>
  <c r="I325" i="1"/>
  <c r="I328" i="1"/>
  <c r="I329" i="1"/>
  <c r="I330" i="1"/>
  <c r="I332" i="1"/>
  <c r="I334" i="1"/>
  <c r="I335" i="1"/>
  <c r="I337" i="1"/>
  <c r="I338" i="1"/>
  <c r="I339" i="1"/>
  <c r="I344" i="1"/>
  <c r="I345" i="1"/>
  <c r="I346" i="1"/>
  <c r="I347" i="1"/>
  <c r="I348" i="1"/>
  <c r="I355" i="1"/>
  <c r="I356" i="1"/>
  <c r="I358" i="1"/>
  <c r="I360" i="1"/>
  <c r="I361" i="1"/>
  <c r="I362" i="1"/>
  <c r="I363" i="1"/>
  <c r="I364" i="1"/>
  <c r="I365" i="1"/>
  <c r="I366" i="1"/>
  <c r="I367" i="1"/>
  <c r="I368" i="1"/>
  <c r="I371" i="1"/>
  <c r="I377" i="1"/>
  <c r="I379" i="1"/>
  <c r="I381" i="1"/>
  <c r="I382" i="1"/>
  <c r="I384" i="1"/>
  <c r="I385" i="1"/>
  <c r="I387" i="1"/>
  <c r="I388" i="1"/>
  <c r="I391" i="1"/>
  <c r="I392" i="1"/>
  <c r="I393" i="1"/>
  <c r="I398" i="1"/>
  <c r="I402" i="1"/>
  <c r="I403" i="1"/>
  <c r="I404" i="1"/>
  <c r="I406" i="1"/>
  <c r="I410" i="1"/>
  <c r="I415" i="1"/>
  <c r="I418" i="1"/>
  <c r="I420" i="1"/>
  <c r="I422" i="1"/>
  <c r="I426" i="1"/>
  <c r="I435" i="1"/>
  <c r="I29" i="1"/>
  <c r="I33" i="1"/>
  <c r="I34" i="1"/>
  <c r="I35" i="1"/>
  <c r="I37" i="1"/>
  <c r="I38" i="1"/>
  <c r="I41" i="1"/>
  <c r="I42" i="1"/>
  <c r="I43" i="1"/>
  <c r="I44" i="1"/>
  <c r="I45" i="1"/>
  <c r="I55" i="1"/>
  <c r="I56" i="1"/>
  <c r="I57" i="1"/>
  <c r="I60" i="1"/>
  <c r="I61" i="1"/>
  <c r="I62" i="1"/>
  <c r="I27" i="1"/>
  <c r="F284" i="1"/>
  <c r="F285" i="1"/>
  <c r="F286" i="1"/>
  <c r="F287" i="1"/>
  <c r="F288" i="1"/>
  <c r="F289" i="1"/>
  <c r="F290" i="1"/>
  <c r="F296" i="1"/>
  <c r="F297" i="1"/>
  <c r="F298" i="1"/>
  <c r="F301" i="1"/>
  <c r="F302" i="1"/>
  <c r="F303" i="1"/>
  <c r="F304" i="1"/>
  <c r="F312" i="1"/>
  <c r="F314" i="1"/>
  <c r="F316" i="1"/>
  <c r="F317" i="1"/>
  <c r="F319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4" i="1"/>
  <c r="F335" i="1"/>
  <c r="F336" i="1"/>
  <c r="F337" i="1"/>
  <c r="F338" i="1"/>
  <c r="F339" i="1"/>
  <c r="F340" i="1"/>
  <c r="F343" i="1"/>
  <c r="F344" i="1"/>
  <c r="F345" i="1"/>
  <c r="F346" i="1"/>
  <c r="F347" i="1"/>
  <c r="F348" i="1"/>
  <c r="F352" i="1"/>
  <c r="F355" i="1"/>
  <c r="F356" i="1"/>
  <c r="F357" i="1"/>
  <c r="F358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3" i="1"/>
  <c r="F374" i="1"/>
  <c r="F375" i="1"/>
  <c r="F376" i="1"/>
  <c r="F377" i="1"/>
  <c r="F379" i="1"/>
  <c r="F380" i="1"/>
  <c r="F381" i="1"/>
  <c r="F382" i="1"/>
  <c r="F383" i="1"/>
  <c r="F384" i="1"/>
  <c r="F385" i="1"/>
  <c r="F387" i="1"/>
  <c r="F388" i="1"/>
  <c r="F390" i="1"/>
  <c r="F391" i="1"/>
  <c r="F392" i="1"/>
  <c r="F393" i="1"/>
  <c r="F398" i="1"/>
  <c r="F402" i="1"/>
  <c r="F403" i="1"/>
  <c r="F404" i="1"/>
  <c r="F406" i="1"/>
  <c r="F410" i="1"/>
  <c r="F412" i="1"/>
  <c r="F415" i="1"/>
  <c r="F417" i="1"/>
  <c r="F418" i="1"/>
  <c r="F420" i="1"/>
  <c r="F421" i="1"/>
  <c r="F422" i="1"/>
  <c r="F426" i="1"/>
  <c r="F427" i="1"/>
  <c r="F435" i="1"/>
  <c r="F28" i="1"/>
  <c r="F29" i="1"/>
  <c r="F33" i="1"/>
  <c r="F34" i="1"/>
  <c r="F35" i="1"/>
  <c r="F37" i="1"/>
  <c r="F38" i="1"/>
  <c r="F39" i="1"/>
  <c r="F41" i="1"/>
  <c r="F42" i="1"/>
  <c r="F43" i="1"/>
  <c r="F44" i="1"/>
  <c r="F45" i="1"/>
  <c r="F54" i="1"/>
  <c r="F55" i="1"/>
  <c r="F56" i="1"/>
  <c r="F57" i="1"/>
  <c r="F59" i="1"/>
  <c r="F60" i="1"/>
  <c r="F61" i="1"/>
  <c r="F62" i="1"/>
  <c r="F63" i="1"/>
  <c r="F65" i="1"/>
  <c r="F66" i="1"/>
  <c r="F68" i="1"/>
  <c r="F69" i="1"/>
  <c r="F70" i="1"/>
  <c r="F71" i="1"/>
  <c r="F72" i="1"/>
  <c r="F73" i="1"/>
  <c r="F80" i="1"/>
  <c r="F82" i="1"/>
  <c r="F83" i="1"/>
  <c r="F84" i="1"/>
  <c r="F85" i="1"/>
  <c r="F87" i="1"/>
  <c r="F89" i="1"/>
  <c r="F90" i="1"/>
  <c r="F91" i="1"/>
  <c r="F93" i="1"/>
  <c r="F96" i="1"/>
  <c r="F98" i="1"/>
  <c r="F99" i="1"/>
  <c r="F100" i="1"/>
  <c r="F101" i="1"/>
  <c r="F102" i="1"/>
  <c r="F103" i="1"/>
  <c r="F104" i="1"/>
  <c r="F105" i="1"/>
  <c r="F109" i="1"/>
  <c r="F110" i="1"/>
  <c r="F111" i="1"/>
  <c r="F113" i="1"/>
  <c r="F114" i="1"/>
  <c r="F117" i="1"/>
  <c r="F118" i="1"/>
  <c r="F119" i="1"/>
  <c r="F120" i="1"/>
  <c r="F121" i="1"/>
  <c r="F122" i="1"/>
  <c r="F124" i="1"/>
  <c r="F125" i="1"/>
  <c r="F126" i="1"/>
  <c r="F127" i="1"/>
  <c r="F128" i="1"/>
  <c r="F129" i="1"/>
  <c r="F133" i="1"/>
  <c r="F130" i="1"/>
  <c r="F132" i="1"/>
  <c r="F134" i="1"/>
  <c r="F135" i="1"/>
  <c r="F136" i="1"/>
  <c r="F139" i="1"/>
  <c r="F140" i="1"/>
  <c r="F146" i="1"/>
  <c r="F149" i="1"/>
  <c r="F150" i="1"/>
  <c r="F151" i="1"/>
  <c r="F152" i="1"/>
  <c r="F154" i="1"/>
  <c r="F155" i="1"/>
  <c r="F156" i="1"/>
  <c r="F157" i="1"/>
  <c r="F159" i="1"/>
  <c r="F160" i="1"/>
  <c r="F163" i="1"/>
  <c r="F166" i="1"/>
  <c r="F167" i="1"/>
  <c r="F168" i="1"/>
  <c r="F169" i="1"/>
  <c r="F170" i="1"/>
  <c r="F171" i="1"/>
  <c r="F173" i="1"/>
  <c r="F174" i="1"/>
  <c r="F175" i="1"/>
  <c r="F176" i="1"/>
  <c r="F177" i="1"/>
  <c r="F179" i="1"/>
  <c r="F180" i="1"/>
  <c r="F181" i="1"/>
  <c r="F182" i="1"/>
  <c r="F183" i="1"/>
  <c r="F184" i="1"/>
  <c r="F185" i="1"/>
  <c r="F186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3" i="1"/>
  <c r="F204" i="1"/>
  <c r="F206" i="1"/>
  <c r="F209" i="1"/>
  <c r="F213" i="1"/>
  <c r="F216" i="1"/>
  <c r="F217" i="1"/>
  <c r="F218" i="1"/>
  <c r="F219" i="1"/>
  <c r="F221" i="1"/>
  <c r="F222" i="1"/>
  <c r="F223" i="1"/>
  <c r="F224" i="1"/>
  <c r="F225" i="1"/>
  <c r="F226" i="1"/>
  <c r="F227" i="1"/>
  <c r="F228" i="1"/>
  <c r="F230" i="1"/>
  <c r="F232" i="1"/>
  <c r="F233" i="1"/>
  <c r="F235" i="1"/>
  <c r="F236" i="1"/>
  <c r="F238" i="1"/>
  <c r="F241" i="1"/>
  <c r="F242" i="1"/>
  <c r="F244" i="1"/>
  <c r="F246" i="1"/>
  <c r="F247" i="1"/>
  <c r="F248" i="1"/>
  <c r="F249" i="1"/>
  <c r="F250" i="1"/>
  <c r="F251" i="1"/>
  <c r="F252" i="1"/>
  <c r="F253" i="1"/>
  <c r="F255" i="1"/>
  <c r="F256" i="1"/>
  <c r="F258" i="1"/>
  <c r="F260" i="1"/>
  <c r="F261" i="1"/>
  <c r="F264" i="1"/>
  <c r="F267" i="1"/>
  <c r="F268" i="1"/>
  <c r="F271" i="1"/>
  <c r="F272" i="1"/>
  <c r="F274" i="1"/>
  <c r="F275" i="1"/>
  <c r="F276" i="1"/>
  <c r="F277" i="1"/>
  <c r="F280" i="1"/>
  <c r="F282" i="1"/>
  <c r="F27" i="1"/>
  <c r="P25" i="1"/>
  <c r="I16" i="1"/>
  <c r="I17" i="1"/>
  <c r="I20" i="1"/>
  <c r="I21" i="1"/>
  <c r="I14" i="1"/>
  <c r="F14" i="1"/>
  <c r="F15" i="1"/>
  <c r="F16" i="1"/>
  <c r="F17" i="1"/>
  <c r="F21" i="1"/>
  <c r="F25" i="1"/>
</calcChain>
</file>

<file path=xl/sharedStrings.xml><?xml version="1.0" encoding="utf-8"?>
<sst xmlns="http://schemas.openxmlformats.org/spreadsheetml/2006/main" count="1348" uniqueCount="1190">
  <si>
    <t>NAME</t>
  </si>
  <si>
    <t>GMS</t>
  </si>
  <si>
    <t>RUNS</t>
  </si>
  <si>
    <t>INN</t>
  </si>
  <si>
    <t>N.O.</t>
  </si>
  <si>
    <t>AVGE</t>
  </si>
  <si>
    <t>WKTS</t>
  </si>
  <si>
    <t>TOTAL</t>
  </si>
  <si>
    <t>CLUB</t>
  </si>
  <si>
    <t>GAMES</t>
  </si>
  <si>
    <t>CAREER - TOTAL GAMES FOR CLUB</t>
  </si>
  <si>
    <t>ACKLAND.D</t>
  </si>
  <si>
    <t>ADAMS.M</t>
  </si>
  <si>
    <t>ADI</t>
  </si>
  <si>
    <t>CAREER - ONE DAY TEAM</t>
  </si>
  <si>
    <t>ALEXANDRIDIS.J</t>
  </si>
  <si>
    <t>ALLEN.D</t>
  </si>
  <si>
    <t>ALMY.S</t>
  </si>
  <si>
    <t>ALMY.T</t>
  </si>
  <si>
    <t>AMALAN.T</t>
  </si>
  <si>
    <t>AMUKOTUNGA.T</t>
  </si>
  <si>
    <t>ANAND.M</t>
  </si>
  <si>
    <t>ANDERSON.P</t>
  </si>
  <si>
    <t>1+0/2+0</t>
  </si>
  <si>
    <t>ANDRANDRIAS.J</t>
  </si>
  <si>
    <t>ANGLIN.N</t>
  </si>
  <si>
    <t>ANNANEEDI.S</t>
  </si>
  <si>
    <t>ARMFIELD.B</t>
  </si>
  <si>
    <t>ARMSTRONG.M</t>
  </si>
  <si>
    <t>ARMSTRONG,P</t>
  </si>
  <si>
    <t>ASHMORE.R</t>
  </si>
  <si>
    <t>ATKINS.C</t>
  </si>
  <si>
    <t>ATKINS.M</t>
  </si>
  <si>
    <t>AVERY.S</t>
  </si>
  <si>
    <t>AYLEN.M</t>
  </si>
  <si>
    <t>BADCOCK.C</t>
  </si>
  <si>
    <t>BAILEY.A</t>
  </si>
  <si>
    <t>BAILEY.M</t>
  </si>
  <si>
    <t>BAKENS.M</t>
  </si>
  <si>
    <t>BAKENS.S</t>
  </si>
  <si>
    <t>BAKER.R</t>
  </si>
  <si>
    <t>2+0/2+0</t>
  </si>
  <si>
    <t>BALENDRAN</t>
  </si>
  <si>
    <t>BALL.B</t>
  </si>
  <si>
    <t>BAMPFIELD.A</t>
  </si>
  <si>
    <t>BANNJEE</t>
  </si>
  <si>
    <t>BARBER.S</t>
  </si>
  <si>
    <t>BARKER.A</t>
  </si>
  <si>
    <t>BARKER.D</t>
  </si>
  <si>
    <t>BARKER.J</t>
  </si>
  <si>
    <t>BARLOW.A</t>
  </si>
  <si>
    <t>BASNAYAKE.C</t>
  </si>
  <si>
    <t>BEARD.S</t>
  </si>
  <si>
    <t>BENETTI.P</t>
  </si>
  <si>
    <t>BENNETT.D</t>
  </si>
  <si>
    <t>BENNETT.J</t>
  </si>
  <si>
    <t>BERBERICH.K</t>
  </si>
  <si>
    <t>2+4/2+0</t>
  </si>
  <si>
    <t>5+7/2+77</t>
  </si>
  <si>
    <t>12+30/2+56</t>
  </si>
  <si>
    <t>BERGMAN.P</t>
  </si>
  <si>
    <t>5+22/2+0</t>
  </si>
  <si>
    <t>BHARATULA.Vinay</t>
  </si>
  <si>
    <t>BHATTI.H</t>
  </si>
  <si>
    <t>BILLING.H</t>
  </si>
  <si>
    <t>BILLING.K</t>
  </si>
  <si>
    <t>BILLING.T</t>
  </si>
  <si>
    <t>BILLINGE.E</t>
  </si>
  <si>
    <t>BIRTHISEL.D</t>
  </si>
  <si>
    <t>2+5/2+38</t>
  </si>
  <si>
    <t>BLAKE.A</t>
  </si>
  <si>
    <t>BOARD.S</t>
  </si>
  <si>
    <t>BOCKMAN.T</t>
  </si>
  <si>
    <t>BODUPALLI.T</t>
  </si>
  <si>
    <t>BODY.A</t>
  </si>
  <si>
    <t>BORG</t>
  </si>
  <si>
    <t>BOUCHER.H</t>
  </si>
  <si>
    <t>BOURILHAN.A</t>
  </si>
  <si>
    <t>BOYD.P</t>
  </si>
  <si>
    <t>BRADFORD.M</t>
  </si>
  <si>
    <t>BRADY.D</t>
  </si>
  <si>
    <t>1+0/2+18</t>
  </si>
  <si>
    <t>BRADY.S</t>
  </si>
  <si>
    <t>BRENNAN.C</t>
  </si>
  <si>
    <t>BRENNAN.M</t>
  </si>
  <si>
    <t>BRENNAN.N</t>
  </si>
  <si>
    <t>5+8/2+73</t>
  </si>
  <si>
    <t>BRIGINSHAW.C</t>
  </si>
  <si>
    <t>BRIGINSHAW.M</t>
  </si>
  <si>
    <t>BRISTOW.H</t>
  </si>
  <si>
    <t>BRISTOW.M</t>
  </si>
  <si>
    <t>BROAD.S</t>
  </si>
  <si>
    <t>BROADLEY.G</t>
  </si>
  <si>
    <t>BROCK</t>
  </si>
  <si>
    <t>BROWN.G</t>
  </si>
  <si>
    <t>BROWN.T</t>
  </si>
  <si>
    <t>BUGEJA.B</t>
  </si>
  <si>
    <t>BUNCE.J</t>
  </si>
  <si>
    <t>BUNGEY.N</t>
  </si>
  <si>
    <t>BURTON.L</t>
  </si>
  <si>
    <t>1+0/2+5</t>
  </si>
  <si>
    <t>BUTTON.D</t>
  </si>
  <si>
    <t>BYRNES.B</t>
  </si>
  <si>
    <t>BYRNES.D</t>
  </si>
  <si>
    <t>CALDER.B</t>
  </si>
  <si>
    <t>CALDER.K</t>
  </si>
  <si>
    <t>CALDWELL.B</t>
  </si>
  <si>
    <t>CAMPBELL.B</t>
  </si>
  <si>
    <t>CAMILLARI.R</t>
  </si>
  <si>
    <t>CARTER.D</t>
  </si>
  <si>
    <t>CHAMBERLAIN.C</t>
  </si>
  <si>
    <t>CHAMBERLAIN.J</t>
  </si>
  <si>
    <t>CHANDRAKUMER.S</t>
  </si>
  <si>
    <t>CHANDRASIVAN.S</t>
  </si>
  <si>
    <t>CHELVAN.A</t>
  </si>
  <si>
    <t>CHESTER.A</t>
  </si>
  <si>
    <t>2+6/2+0</t>
  </si>
  <si>
    <t>CLARK.A</t>
  </si>
  <si>
    <t>CLARKE.D</t>
  </si>
  <si>
    <t>CLARKE.G</t>
  </si>
  <si>
    <t>CLARKE.P</t>
  </si>
  <si>
    <t>20+125/2+19</t>
  </si>
  <si>
    <t>CLARKE.T</t>
  </si>
  <si>
    <t>CLARKSON.J</t>
  </si>
  <si>
    <t>2+2/2+0</t>
  </si>
  <si>
    <t>CLIFTON.J</t>
  </si>
  <si>
    <t>COCHRANE.P</t>
  </si>
  <si>
    <t>COCKS.S</t>
  </si>
  <si>
    <t>COLEMAN.B</t>
  </si>
  <si>
    <t>COLLINS.M</t>
  </si>
  <si>
    <t>COLTHUP.P</t>
  </si>
  <si>
    <t>CONDON.J</t>
  </si>
  <si>
    <t>CONSTANTINOU.H</t>
  </si>
  <si>
    <t>CORSHER.G</t>
  </si>
  <si>
    <t>COSTELLO.A</t>
  </si>
  <si>
    <t>COSTELLO.S</t>
  </si>
  <si>
    <t>COSTELLOE.A</t>
  </si>
  <si>
    <t>COSTER.B</t>
  </si>
  <si>
    <t>COULL.B</t>
  </si>
  <si>
    <t>COUSINS.J</t>
  </si>
  <si>
    <t>COUSINS.T</t>
  </si>
  <si>
    <t>CRAIG.R</t>
  </si>
  <si>
    <t>CRAIG.S</t>
  </si>
  <si>
    <t>CRAWFORD.T</t>
  </si>
  <si>
    <t>CREAK.Marcus</t>
  </si>
  <si>
    <t>4+10/2+0</t>
  </si>
  <si>
    <t>CREAK.Mathew</t>
  </si>
  <si>
    <t>6+0/2+0</t>
  </si>
  <si>
    <t>CREAK.Michael</t>
  </si>
  <si>
    <t>CRIPPS.M</t>
  </si>
  <si>
    <t>CRISP.D</t>
  </si>
  <si>
    <t>CUDDON.B</t>
  </si>
  <si>
    <t>CUDDON.G</t>
  </si>
  <si>
    <t>DACRE.N</t>
  </si>
  <si>
    <t>DALE.A</t>
  </si>
  <si>
    <t>DALTON.M</t>
  </si>
  <si>
    <t>DAVIDSON.Drew</t>
  </si>
  <si>
    <t>DAVIDSON.Dennis</t>
  </si>
  <si>
    <t>1+0/2+64</t>
  </si>
  <si>
    <t>DAVIDSON.R</t>
  </si>
  <si>
    <t>5+4/2+186</t>
  </si>
  <si>
    <t>DAVIES.I</t>
  </si>
  <si>
    <t>DAVIES.John</t>
  </si>
  <si>
    <t>DAVIES.Josh</t>
  </si>
  <si>
    <t>DAVIES.Scott</t>
  </si>
  <si>
    <t>7+30/2+104</t>
  </si>
  <si>
    <t>DAVIS.B</t>
  </si>
  <si>
    <t>DeFRAGA.W</t>
  </si>
  <si>
    <t>DEKIEL.A</t>
  </si>
  <si>
    <t>DENTON.P</t>
  </si>
  <si>
    <t>DESILVA.D</t>
  </si>
  <si>
    <t>DHARMITRI.Y</t>
  </si>
  <si>
    <t>DICKINSON.G</t>
  </si>
  <si>
    <t>DISKIN.J</t>
  </si>
  <si>
    <t>DONGERKERI.A</t>
  </si>
  <si>
    <t>DOWLING.N</t>
  </si>
  <si>
    <t>DOWSING.L</t>
  </si>
  <si>
    <t>DUBEY.H</t>
  </si>
  <si>
    <t>EARDLEY.J</t>
  </si>
  <si>
    <t>EDMONSON.M</t>
  </si>
  <si>
    <t>2+1/2+0</t>
  </si>
  <si>
    <t>EDWARDS.A</t>
  </si>
  <si>
    <t>EDWARDS.B</t>
  </si>
  <si>
    <t>EDWARDS.C</t>
  </si>
  <si>
    <t>EFSTATHION.C</t>
  </si>
  <si>
    <t>EGAN.J</t>
  </si>
  <si>
    <t>ELDRIDGE.P</t>
  </si>
  <si>
    <t>ELLERBOCK.G</t>
  </si>
  <si>
    <t>ELLIOTT.M</t>
  </si>
  <si>
    <t>ELLIS.S</t>
  </si>
  <si>
    <t>EMSLIE.R (Bob)</t>
  </si>
  <si>
    <t>ENGLINTON.B</t>
  </si>
  <si>
    <t>ENGWERDA.A</t>
  </si>
  <si>
    <t>EPPS.B</t>
  </si>
  <si>
    <t>FALKINGHAM.G</t>
  </si>
  <si>
    <t>FEENSTRA.J</t>
  </si>
  <si>
    <t>FERGUSON.L</t>
  </si>
  <si>
    <t>FERGUSSON.R</t>
  </si>
  <si>
    <t>FLAHERTY.A</t>
  </si>
  <si>
    <t>FLEMING.B</t>
  </si>
  <si>
    <t>FLEMING.Marcus</t>
  </si>
  <si>
    <t>1+0/2+3</t>
  </si>
  <si>
    <t>FLEMING.Martin</t>
  </si>
  <si>
    <t>FLEMING.T</t>
  </si>
  <si>
    <t>FLOYD.L</t>
  </si>
  <si>
    <t>FLYGER.A</t>
  </si>
  <si>
    <t>FORSTER.C</t>
  </si>
  <si>
    <t>FRASER.S</t>
  </si>
  <si>
    <t>FREEDMAN.D</t>
  </si>
  <si>
    <t>FRY.C</t>
  </si>
  <si>
    <t>FRY.J</t>
  </si>
  <si>
    <t>GABBI.B</t>
  </si>
  <si>
    <t>GABBI.J</t>
  </si>
  <si>
    <t>GADGIL.S</t>
  </si>
  <si>
    <t>GALLE.J</t>
  </si>
  <si>
    <t>GALLE.L</t>
  </si>
  <si>
    <t>GANESH.M</t>
  </si>
  <si>
    <t>2+0/2+6</t>
  </si>
  <si>
    <t>GANNON.G</t>
  </si>
  <si>
    <t>GARDNER.T</t>
  </si>
  <si>
    <t>2+5/2+30</t>
  </si>
  <si>
    <t>GARTNER.J</t>
  </si>
  <si>
    <t>GAYGHUDE.R</t>
  </si>
  <si>
    <t>1+0/2+6</t>
  </si>
  <si>
    <t>GEORGE.B</t>
  </si>
  <si>
    <t>GEORGE.F</t>
  </si>
  <si>
    <t>GIBBENS.M</t>
  </si>
  <si>
    <t>GILKINSON.D</t>
  </si>
  <si>
    <t>GILKINSON.G</t>
  </si>
  <si>
    <t>GODDARD.Justin</t>
  </si>
  <si>
    <t>1+0/2+179</t>
  </si>
  <si>
    <t>GODDARD.J (Snr)</t>
  </si>
  <si>
    <t>GODDARD.Jason</t>
  </si>
  <si>
    <t>GODDARD.M</t>
  </si>
  <si>
    <t>GODDARD.L</t>
  </si>
  <si>
    <t>GOPIRAJ.P</t>
  </si>
  <si>
    <t>GOPIRAJ.R</t>
  </si>
  <si>
    <t>GORDON.P</t>
  </si>
  <si>
    <t>GRAY.C</t>
  </si>
  <si>
    <t>GREAVES.I</t>
  </si>
  <si>
    <t>GREAVES.J</t>
  </si>
  <si>
    <t>GREEN.D</t>
  </si>
  <si>
    <t>GUNAWARDANA.D</t>
  </si>
  <si>
    <t>GUPTA.Puneet</t>
  </si>
  <si>
    <t>GUPTA.Pralabh</t>
  </si>
  <si>
    <t>HALL.D</t>
  </si>
  <si>
    <t>HALL.F</t>
  </si>
  <si>
    <t>HALLETT.M</t>
  </si>
  <si>
    <t>1+0/2+15</t>
  </si>
  <si>
    <t>HALLEY.D</t>
  </si>
  <si>
    <t>HAMILTON.D</t>
  </si>
  <si>
    <t>HANDS.G</t>
  </si>
  <si>
    <t>HANSEN.R</t>
  </si>
  <si>
    <t>HANSEN.S</t>
  </si>
  <si>
    <t>HAPUARCHCHIU.D</t>
  </si>
  <si>
    <t>HAROLD.A</t>
  </si>
  <si>
    <t>HAROLD.B</t>
  </si>
  <si>
    <t>HARRIS.A</t>
  </si>
  <si>
    <t>HARRIS.C</t>
  </si>
  <si>
    <t>HARRIS.S</t>
  </si>
  <si>
    <t>HARRIS.T</t>
  </si>
  <si>
    <t>HARRISON.M</t>
  </si>
  <si>
    <t>HARRISON.S</t>
  </si>
  <si>
    <t>HARTFORD.N</t>
  </si>
  <si>
    <t>HARVEY.B</t>
  </si>
  <si>
    <t>HARVEY.D</t>
  </si>
  <si>
    <t>HASTINGS.D</t>
  </si>
  <si>
    <t>HAWLEY.D</t>
  </si>
  <si>
    <t>HAYE.Glenn</t>
  </si>
  <si>
    <t>HAYE.Grant</t>
  </si>
  <si>
    <t>HAYE.J</t>
  </si>
  <si>
    <t>2+0/2+8</t>
  </si>
  <si>
    <t>HAYES.B</t>
  </si>
  <si>
    <t>HEIGHTON.D</t>
  </si>
  <si>
    <t>HENDRICKS.D</t>
  </si>
  <si>
    <t>HENDRICKS.S</t>
  </si>
  <si>
    <t>1+0/2+35</t>
  </si>
  <si>
    <t>HENG.K</t>
  </si>
  <si>
    <t>HENLEY.A</t>
  </si>
  <si>
    <t>HIHO.R</t>
  </si>
  <si>
    <t>HILLARD.I</t>
  </si>
  <si>
    <t>HOARE.C</t>
  </si>
  <si>
    <t>HOARE.D</t>
  </si>
  <si>
    <t>1+0/2+107</t>
  </si>
  <si>
    <t>HOARE.M</t>
  </si>
  <si>
    <t>HOARE.N</t>
  </si>
  <si>
    <t>HOCART.C</t>
  </si>
  <si>
    <t>HOCKING.B</t>
  </si>
  <si>
    <t>HOCKING.M</t>
  </si>
  <si>
    <t>HODGSON.J</t>
  </si>
  <si>
    <t>HOLAH.A</t>
  </si>
  <si>
    <t>HOLMES.M</t>
  </si>
  <si>
    <t>HOOD.A</t>
  </si>
  <si>
    <t>HOPURACHCHI.D</t>
  </si>
  <si>
    <t>HOWARD.A</t>
  </si>
  <si>
    <t>HOWARTH.J</t>
  </si>
  <si>
    <t>HUNGENAHALLY.A</t>
  </si>
  <si>
    <t>HUNTER.D</t>
  </si>
  <si>
    <t>HUNTER.G</t>
  </si>
  <si>
    <t>HUNTINGTON.A</t>
  </si>
  <si>
    <t>HUNTINGTON.D</t>
  </si>
  <si>
    <t>HUNTINGTON.G</t>
  </si>
  <si>
    <t>HUTCHINGS.C</t>
  </si>
  <si>
    <t>IGLEWSKI.T</t>
  </si>
  <si>
    <t>IRISH.A</t>
  </si>
  <si>
    <t>IRISH.J</t>
  </si>
  <si>
    <t>IRISH.R</t>
  </si>
  <si>
    <t>IRISH.S</t>
  </si>
  <si>
    <t>JACKMAN.M</t>
  </si>
  <si>
    <t>JACKSON.C</t>
  </si>
  <si>
    <t>JAMES.B</t>
  </si>
  <si>
    <t>JAMES.N</t>
  </si>
  <si>
    <t>JAMES.S</t>
  </si>
  <si>
    <t>JANSSEN.R</t>
  </si>
  <si>
    <t>JAYASEKERA.C</t>
  </si>
  <si>
    <t>JAYASINGHE.B</t>
  </si>
  <si>
    <t>JAYASINGHE.C</t>
  </si>
  <si>
    <t>JOB.J</t>
  </si>
  <si>
    <t>JOHNSON.A</t>
  </si>
  <si>
    <t>JOHNSON.D</t>
  </si>
  <si>
    <t>JOHNSTON.L</t>
  </si>
  <si>
    <t>JOHNSTON.S</t>
  </si>
  <si>
    <t>JONES.B</t>
  </si>
  <si>
    <t>JOWETT.M</t>
  </si>
  <si>
    <t>JOY.P</t>
  </si>
  <si>
    <t>KANDAPPER.R</t>
  </si>
  <si>
    <t>KARUNATILEKE.N</t>
  </si>
  <si>
    <t>KARUNATILEKE.Y</t>
  </si>
  <si>
    <t>1+0/2+118</t>
  </si>
  <si>
    <t>KELLY.A</t>
  </si>
  <si>
    <t>KING.G</t>
  </si>
  <si>
    <t>KING.M</t>
  </si>
  <si>
    <t>KNOWLES.C</t>
  </si>
  <si>
    <t>4+11/2+0</t>
  </si>
  <si>
    <t>KORILIS.P</t>
  </si>
  <si>
    <t>KUGANESAN.A</t>
  </si>
  <si>
    <t>KULATUNGA.H</t>
  </si>
  <si>
    <t>LADD.D</t>
  </si>
  <si>
    <t>LADD.K</t>
  </si>
  <si>
    <t>LADD.R</t>
  </si>
  <si>
    <t>LAFONTAINE.G</t>
  </si>
  <si>
    <t>LAIDLOW</t>
  </si>
  <si>
    <t>LANE.A</t>
  </si>
  <si>
    <t>LAPTHORNE.A</t>
  </si>
  <si>
    <t>LARKINS.J</t>
  </si>
  <si>
    <t>LAUGHTON.S</t>
  </si>
  <si>
    <t>LAWSON.M</t>
  </si>
  <si>
    <t>LEACH.S</t>
  </si>
  <si>
    <t>LEANE.W</t>
  </si>
  <si>
    <t>LECHTE.B</t>
  </si>
  <si>
    <t>1+0/2+59</t>
  </si>
  <si>
    <t>LeCLERC.C</t>
  </si>
  <si>
    <t>LEITCH.S</t>
  </si>
  <si>
    <t>2+13/2+0</t>
  </si>
  <si>
    <t>LISTON.C</t>
  </si>
  <si>
    <t>LITTLE.B</t>
  </si>
  <si>
    <t>LOGAN.K</t>
  </si>
  <si>
    <t>LORD.S</t>
  </si>
  <si>
    <t>LOTHERINGTON.M</t>
  </si>
  <si>
    <t>LOUCAS.A</t>
  </si>
  <si>
    <t>LOUCAS.T</t>
  </si>
  <si>
    <t>LOUGHNAN.P</t>
  </si>
  <si>
    <t>LOVERIDGE.D</t>
  </si>
  <si>
    <t>LUNAM.M</t>
  </si>
  <si>
    <t>MACLEAN.L</t>
  </si>
  <si>
    <t>MAHONEY.G</t>
  </si>
  <si>
    <t>MAHONEY.J</t>
  </si>
  <si>
    <t>MAHONEY.P</t>
  </si>
  <si>
    <t>MAINI.I</t>
  </si>
  <si>
    <t>MAINWARING.M</t>
  </si>
  <si>
    <t>MALIK.S</t>
  </si>
  <si>
    <t>MANESH.M</t>
  </si>
  <si>
    <t>MANNING.J</t>
  </si>
  <si>
    <t>MARIE.G</t>
  </si>
  <si>
    <t>MARTIN.D</t>
  </si>
  <si>
    <t>MATCHETT.R</t>
  </si>
  <si>
    <t>MATHIESON.K</t>
  </si>
  <si>
    <t>MATTHEWS.T</t>
  </si>
  <si>
    <t>MAYES.A</t>
  </si>
  <si>
    <t>McCALLUM.G</t>
  </si>
  <si>
    <t>McCORMICK.Cameron</t>
  </si>
  <si>
    <t>20+113/2+10</t>
  </si>
  <si>
    <t>McCORMICK.D</t>
  </si>
  <si>
    <t>McCORMICK.G</t>
  </si>
  <si>
    <t>McCORMICK.S</t>
  </si>
  <si>
    <t>McCRAE.Matt</t>
  </si>
  <si>
    <t>McCRAE.Mick</t>
  </si>
  <si>
    <t>1+0/2+152</t>
  </si>
  <si>
    <t>McDONALD.A</t>
  </si>
  <si>
    <t>McDONNELL.A</t>
  </si>
  <si>
    <t>McFADDEN.M</t>
  </si>
  <si>
    <t>McFADDEN.S</t>
  </si>
  <si>
    <t>McGLORY. Dean</t>
  </si>
  <si>
    <t>2+2/2+7</t>
  </si>
  <si>
    <t>McGLORY.Dennis</t>
  </si>
  <si>
    <t>McGUINESS.L</t>
  </si>
  <si>
    <t>McINTYRE.A</t>
  </si>
  <si>
    <t>McNEILL.D</t>
  </si>
  <si>
    <t>MEDARD.A</t>
  </si>
  <si>
    <t>MEDINA.A</t>
  </si>
  <si>
    <t>6+9/2+104</t>
  </si>
  <si>
    <t>MERKUS.T</t>
  </si>
  <si>
    <t>MICELI.G</t>
  </si>
  <si>
    <t>MICHAELSEN.N</t>
  </si>
  <si>
    <t>MILLS.S</t>
  </si>
  <si>
    <t>MODRIVICH.N</t>
  </si>
  <si>
    <t>1+0/2+28</t>
  </si>
  <si>
    <t>MOLLISON.A</t>
  </si>
  <si>
    <t>MOORE.H</t>
  </si>
  <si>
    <t>MORAN.M</t>
  </si>
  <si>
    <t>MORRELL.B</t>
  </si>
  <si>
    <t>MORRELL.S</t>
  </si>
  <si>
    <t>MORRISON.D</t>
  </si>
  <si>
    <t>MORROW.P</t>
  </si>
  <si>
    <t>MORTON.A</t>
  </si>
  <si>
    <t>MOY.A</t>
  </si>
  <si>
    <t>MUNUGANTI.T</t>
  </si>
  <si>
    <t>MURRAY.S</t>
  </si>
  <si>
    <t>NEWMAN.A</t>
  </si>
  <si>
    <t>16+51/2+127</t>
  </si>
  <si>
    <t>NEWMAN.D</t>
  </si>
  <si>
    <t>NEWMAN.J</t>
  </si>
  <si>
    <t>NEWMAN.P</t>
  </si>
  <si>
    <t>12+21/2+73</t>
  </si>
  <si>
    <t>NICHOLS.J</t>
  </si>
  <si>
    <t>NICHOLLS.R</t>
  </si>
  <si>
    <t>NIRAJAN.S</t>
  </si>
  <si>
    <t>NIROJ.O</t>
  </si>
  <si>
    <t>NOFFICE.J</t>
  </si>
  <si>
    <t>NOLAN.K</t>
  </si>
  <si>
    <t>NORTH.I</t>
  </si>
  <si>
    <t>NYE.A</t>
  </si>
  <si>
    <t>O'DONNELL.D</t>
  </si>
  <si>
    <t>O'KELLY.X</t>
  </si>
  <si>
    <t>O'REGAN.M</t>
  </si>
  <si>
    <t>O'REILLY.M</t>
  </si>
  <si>
    <t>1+0/2+80</t>
  </si>
  <si>
    <t>OSBORNE.P</t>
  </si>
  <si>
    <t>PAI.Tejus</t>
  </si>
  <si>
    <t>PANOZZA.D</t>
  </si>
  <si>
    <t>PANOZZA.M</t>
  </si>
  <si>
    <t>PAPA.D</t>
  </si>
  <si>
    <t>PARKER.C</t>
  </si>
  <si>
    <t>PATEL.C</t>
  </si>
  <si>
    <t>PATEL.S</t>
  </si>
  <si>
    <t>PAULIN.D</t>
  </si>
  <si>
    <t>PAULIN.J</t>
  </si>
  <si>
    <t>PAULIN.L</t>
  </si>
  <si>
    <t>PAULIN.R</t>
  </si>
  <si>
    <t>PAULSEN.N</t>
  </si>
  <si>
    <t>PAYNE.D</t>
  </si>
  <si>
    <t>PEARCE.A</t>
  </si>
  <si>
    <t>PEARCE.D</t>
  </si>
  <si>
    <t>PEARCE.R</t>
  </si>
  <si>
    <t>PEARCE.S</t>
  </si>
  <si>
    <t>PENNY.G</t>
  </si>
  <si>
    <t>PENNY.R</t>
  </si>
  <si>
    <t>PENTECOST.</t>
  </si>
  <si>
    <t>PEREIRA.A</t>
  </si>
  <si>
    <t>PERKINS.C</t>
  </si>
  <si>
    <t>PERKINS.D</t>
  </si>
  <si>
    <t>PERKINS.S</t>
  </si>
  <si>
    <t>PERRETT.A</t>
  </si>
  <si>
    <t>PERRY.A</t>
  </si>
  <si>
    <t>PERRY.W</t>
  </si>
  <si>
    <t>PHILLIPS.C</t>
  </si>
  <si>
    <t>PHILPOTT.R</t>
  </si>
  <si>
    <t>PICKERING.A</t>
  </si>
  <si>
    <t>PIETSCH.A</t>
  </si>
  <si>
    <t>PIKE.R</t>
  </si>
  <si>
    <t>PIMM.S`</t>
  </si>
  <si>
    <t>PIPLIOS.C</t>
  </si>
  <si>
    <t>POORUN.A</t>
  </si>
  <si>
    <t>POWELL.B</t>
  </si>
  <si>
    <t>POWELL.G</t>
  </si>
  <si>
    <t>POWELL.N</t>
  </si>
  <si>
    <t>POWELL.S</t>
  </si>
  <si>
    <t>PREASH.</t>
  </si>
  <si>
    <t>PRICE.R</t>
  </si>
  <si>
    <t>QUINN.S</t>
  </si>
  <si>
    <t>RAIKES.M</t>
  </si>
  <si>
    <t>RAJAPALEM.S</t>
  </si>
  <si>
    <t>RAMAKRISHNA.B</t>
  </si>
  <si>
    <t>RAMAKRISHNAN.S</t>
  </si>
  <si>
    <t>RAMESH.S</t>
  </si>
  <si>
    <t>RANDALL.D</t>
  </si>
  <si>
    <t>RANDALL.S</t>
  </si>
  <si>
    <t>RANDELL.K</t>
  </si>
  <si>
    <t>RATNASEKERA.R</t>
  </si>
  <si>
    <t>RAY.G</t>
  </si>
  <si>
    <t>RAY.S</t>
  </si>
  <si>
    <t>RAYMOND.S</t>
  </si>
  <si>
    <t>12+59/2+1</t>
  </si>
  <si>
    <t>REED.A</t>
  </si>
  <si>
    <t>REIDY.C</t>
  </si>
  <si>
    <t>RICHARDSON.A</t>
  </si>
  <si>
    <t>RICHARDSON.M</t>
  </si>
  <si>
    <t>RITCHIE.S</t>
  </si>
  <si>
    <t>RIVALLAND.D</t>
  </si>
  <si>
    <t>3+13/2+69</t>
  </si>
  <si>
    <t>ROBB.A`</t>
  </si>
  <si>
    <t>ROBBIE.S</t>
  </si>
  <si>
    <t>ROBBINS.M</t>
  </si>
  <si>
    <t>RODDA.G</t>
  </si>
  <si>
    <t>ROLFE.A</t>
  </si>
  <si>
    <t>ROWE.N</t>
  </si>
  <si>
    <t>RYAN.M</t>
  </si>
  <si>
    <t>SAMERAKOON.C</t>
  </si>
  <si>
    <t>SARVE.Arun</t>
  </si>
  <si>
    <t>SCICLUNA.J</t>
  </si>
  <si>
    <t>SCIORTINO.D</t>
  </si>
  <si>
    <t>SCHROEDER.A</t>
  </si>
  <si>
    <t>SCHULTZ.P</t>
  </si>
  <si>
    <t>SCOTT.M</t>
  </si>
  <si>
    <t>SCOTT.W</t>
  </si>
  <si>
    <t>SEDDON.P</t>
  </si>
  <si>
    <t>SEDERGREN.S</t>
  </si>
  <si>
    <t>SENANYAKE.N</t>
  </si>
  <si>
    <t>SEN-BANERJEE.R</t>
  </si>
  <si>
    <t>SHARKEY.G</t>
  </si>
  <si>
    <t>SHARPE.D</t>
  </si>
  <si>
    <t>SHEPPARD.K</t>
  </si>
  <si>
    <t>SHOPPEE.P</t>
  </si>
  <si>
    <t>SILVA.M</t>
  </si>
  <si>
    <t>SILVERII.A</t>
  </si>
  <si>
    <t>1+0/2+49</t>
  </si>
  <si>
    <t>SILVEY.B</t>
  </si>
  <si>
    <t>SILVEY.J</t>
  </si>
  <si>
    <t>SINGH.A</t>
  </si>
  <si>
    <t>SINGH.J</t>
  </si>
  <si>
    <t>SINGH.V</t>
  </si>
  <si>
    <t>SIPTHORPE.B</t>
  </si>
  <si>
    <t>SIPTHORPE.R</t>
  </si>
  <si>
    <t>SIRCAR.Shailendra</t>
  </si>
  <si>
    <t>SKANDAKUMAR.K</t>
  </si>
  <si>
    <t>SMITH.D</t>
  </si>
  <si>
    <t>SMITH.M</t>
  </si>
  <si>
    <t>SMITH.S</t>
  </si>
  <si>
    <t>2+4/2+37</t>
  </si>
  <si>
    <t>SMOOTHEY.S</t>
  </si>
  <si>
    <t>SOMAIA.M</t>
  </si>
  <si>
    <t>SOMAIA.S</t>
  </si>
  <si>
    <t>SORENSON.A</t>
  </si>
  <si>
    <t>SPLATT.J</t>
  </si>
  <si>
    <t>SRITHARAN.K</t>
  </si>
  <si>
    <t>SRIVASTAVA.A</t>
  </si>
  <si>
    <t>STACK.G</t>
  </si>
  <si>
    <t>STACKPOLE.C</t>
  </si>
  <si>
    <t>STEVENSON.D</t>
  </si>
  <si>
    <t>STEVENSON.J</t>
  </si>
  <si>
    <t>STEVENSON.M</t>
  </si>
  <si>
    <t>STEWART.B</t>
  </si>
  <si>
    <t>STOBIE.C</t>
  </si>
  <si>
    <t>STOKES.B</t>
  </si>
  <si>
    <t>STOKES.P</t>
  </si>
  <si>
    <t>STOPPA.J</t>
  </si>
  <si>
    <t>STYLES.T</t>
  </si>
  <si>
    <t>SUCKLING.Q</t>
  </si>
  <si>
    <t>SUDARSHAN.A</t>
  </si>
  <si>
    <t>SULLIVAN.B</t>
  </si>
  <si>
    <t>SULLIVAN.D</t>
  </si>
  <si>
    <t>SULLIVAN.R</t>
  </si>
  <si>
    <t>SUTCLIFFE</t>
  </si>
  <si>
    <t>SWINTON.B</t>
  </si>
  <si>
    <t>TAYLOR.D</t>
  </si>
  <si>
    <t>TENNANT.N</t>
  </si>
  <si>
    <t>THANGARTHAN.A</t>
  </si>
  <si>
    <t>THANTARATNAM.A</t>
  </si>
  <si>
    <t>THANKESWARAN.S</t>
  </si>
  <si>
    <t>THARMASUTHAN.K</t>
  </si>
  <si>
    <t>THATIMAKULA.S</t>
  </si>
  <si>
    <t>THOMAS.C</t>
  </si>
  <si>
    <t>THOMAS.S</t>
  </si>
  <si>
    <t>THURAIRTHAM.D</t>
  </si>
  <si>
    <t>THURAISINGM.N</t>
  </si>
  <si>
    <t>THURSBY.A</t>
  </si>
  <si>
    <t>TILEKANATNE.A</t>
  </si>
  <si>
    <t>TILEKANATNE.H</t>
  </si>
  <si>
    <t>TILLEKERANTE.S</t>
  </si>
  <si>
    <t>TILLEKERATUE.A</t>
  </si>
  <si>
    <t>TILLEY.P</t>
  </si>
  <si>
    <t>TIPPETT.M</t>
  </si>
  <si>
    <t>TOLMIE.K</t>
  </si>
  <si>
    <t>TOOHEY.P</t>
  </si>
  <si>
    <t>TOVEY.N</t>
  </si>
  <si>
    <t>TOWERS.G</t>
  </si>
  <si>
    <t>TOWERS.I</t>
  </si>
  <si>
    <t>TOWNSEND.R</t>
  </si>
  <si>
    <t>TUCKER.N</t>
  </si>
  <si>
    <t>TYERS.C</t>
  </si>
  <si>
    <t>TZOUVELIS.J</t>
  </si>
  <si>
    <t>VAN DER KRUS.M</t>
  </si>
  <si>
    <t>VANDERWALL.R</t>
  </si>
  <si>
    <t>VANIN.S</t>
  </si>
  <si>
    <t>VARATHARAJAH.M</t>
  </si>
  <si>
    <t>VOULANIS.A</t>
  </si>
  <si>
    <t>VOULANIS.N</t>
  </si>
  <si>
    <t>WALKER.G</t>
  </si>
  <si>
    <t>WALKER.V</t>
  </si>
  <si>
    <t>WATERS.T</t>
  </si>
  <si>
    <t>WATERS.R</t>
  </si>
  <si>
    <t>WEBSTER.S</t>
  </si>
  <si>
    <t>WELGAMA.M</t>
  </si>
  <si>
    <t>WHITE.Adam</t>
  </si>
  <si>
    <t>WILLIAMS.H</t>
  </si>
  <si>
    <t>WILSON.G</t>
  </si>
  <si>
    <t>WINTON.A</t>
  </si>
  <si>
    <t>WITTEN.B</t>
  </si>
  <si>
    <t>WYND.S</t>
  </si>
  <si>
    <t>YONG.T</t>
  </si>
  <si>
    <t>YOUNG.G</t>
  </si>
  <si>
    <t>YOUNG.R</t>
  </si>
  <si>
    <t>ZACHARIASSEN.S</t>
  </si>
  <si>
    <t>ZACHARIASSEN.T</t>
  </si>
  <si>
    <t>ZICKMAN.S</t>
  </si>
  <si>
    <t>NOTE</t>
  </si>
  <si>
    <t>One day figures included in Career Figures</t>
  </si>
  <si>
    <t>Scorebooks for 2nd, 3rd &amp; 4ths for year 1995/96 are missing</t>
  </si>
  <si>
    <t>Scorebook for 2nd Xl missing for 1991/92</t>
  </si>
  <si>
    <t>Does not include juniors unless they have played senior games</t>
  </si>
  <si>
    <t>BARTLETT.D</t>
  </si>
  <si>
    <t>CAMERON.N</t>
  </si>
  <si>
    <t>EDWARDS.S</t>
  </si>
  <si>
    <t>HUNTER,S</t>
  </si>
  <si>
    <t>MILLS.D</t>
  </si>
  <si>
    <t>PAPA.A</t>
  </si>
  <si>
    <t>PARSONS.B</t>
  </si>
  <si>
    <t>PENNY.J</t>
  </si>
  <si>
    <t>STRICKLAND.D</t>
  </si>
  <si>
    <t>DAVIES.Glen</t>
  </si>
  <si>
    <t>RANJAN.R</t>
  </si>
  <si>
    <t>AGALIOTIS.J</t>
  </si>
  <si>
    <t>2+1/2+6</t>
  </si>
  <si>
    <t>BALA.Adithya</t>
  </si>
  <si>
    <t>3+5/2+0</t>
  </si>
  <si>
    <t>BOLITHO.M</t>
  </si>
  <si>
    <t>13+44/2+121</t>
  </si>
  <si>
    <t>CHANEL.Z</t>
  </si>
  <si>
    <t>CREAK.A</t>
  </si>
  <si>
    <t>DAVIES.Steven</t>
  </si>
  <si>
    <t>2+0/2+11</t>
  </si>
  <si>
    <t>GANESH.A</t>
  </si>
  <si>
    <t>GRYLLS.A</t>
  </si>
  <si>
    <t>GUPTA.Rahul</t>
  </si>
  <si>
    <t>KOTHARI.H</t>
  </si>
  <si>
    <t>3+2/2+0</t>
  </si>
  <si>
    <t>PONNUSAMY.T</t>
  </si>
  <si>
    <t>PRASAD.S</t>
  </si>
  <si>
    <t>RAGKEB.C</t>
  </si>
  <si>
    <t>1+0/2+24</t>
  </si>
  <si>
    <t>SCURRY.J</t>
  </si>
  <si>
    <t>WHEELER.B</t>
  </si>
  <si>
    <t>DIGUMARTI.R  (RAO)</t>
  </si>
  <si>
    <t>ALAHENDRA.Tisura</t>
  </si>
  <si>
    <t>ARAVINTHINAN.P</t>
  </si>
  <si>
    <t>ARIVALAKAN.Shivo</t>
  </si>
  <si>
    <t>8+46/2+22</t>
  </si>
  <si>
    <t>16+28/2+11</t>
  </si>
  <si>
    <t>4+23/2+7</t>
  </si>
  <si>
    <t>GAIKWAD.Satish</t>
  </si>
  <si>
    <t>GUNDE.Stanley</t>
  </si>
  <si>
    <t>GUNJUR.Ashray</t>
  </si>
  <si>
    <t>HOLDEN.Dean</t>
  </si>
  <si>
    <t>HOLDEN.Daniel</t>
  </si>
  <si>
    <t>1+0/2+4</t>
  </si>
  <si>
    <t>INGLIS.R</t>
  </si>
  <si>
    <t>KORGAONAKAR.A</t>
  </si>
  <si>
    <t>1+0/2+8</t>
  </si>
  <si>
    <t>LAKSHMANAHI.V</t>
  </si>
  <si>
    <t>MAHONEY.M</t>
  </si>
  <si>
    <t>23+90/2+34</t>
  </si>
  <si>
    <t>PAI.Tusher</t>
  </si>
  <si>
    <t>14+15/2+0</t>
  </si>
  <si>
    <t>PETERSON.L</t>
  </si>
  <si>
    <t>PONNUSAMY.John</t>
  </si>
  <si>
    <t>20+68/2+0</t>
  </si>
  <si>
    <t>SIMPSON.R</t>
  </si>
  <si>
    <t>WHEELER.J</t>
  </si>
  <si>
    <t>WHEELER.S</t>
  </si>
  <si>
    <t>RATNAYAKE.M</t>
  </si>
  <si>
    <t>BAPAT. Mayuresn</t>
  </si>
  <si>
    <t>2+0/2+84</t>
  </si>
  <si>
    <t>CHAVAN.R</t>
  </si>
  <si>
    <t>CHELVAN.P</t>
  </si>
  <si>
    <t>COMBEN.M</t>
  </si>
  <si>
    <t>DOYLE. Chris</t>
  </si>
  <si>
    <t>DOYLE. Shante</t>
  </si>
  <si>
    <t>2+0/2+17</t>
  </si>
  <si>
    <t>FOSTER.S</t>
  </si>
  <si>
    <t>1+0/2+34</t>
  </si>
  <si>
    <t>GADGIL. Indranil</t>
  </si>
  <si>
    <t>GADGIL. Mukand</t>
  </si>
  <si>
    <t>2+3/2+0</t>
  </si>
  <si>
    <t>2+2/2+6</t>
  </si>
  <si>
    <t>GRYLLS.N</t>
  </si>
  <si>
    <t>1+0/2+1</t>
  </si>
  <si>
    <t>GUPTA. Pulkit</t>
  </si>
  <si>
    <t>14+62/2+141</t>
  </si>
  <si>
    <t>2+0/2+70</t>
  </si>
  <si>
    <t>18+88/2+47</t>
  </si>
  <si>
    <t>HUNTINGTON. J</t>
  </si>
  <si>
    <t>JAJOO.S</t>
  </si>
  <si>
    <t>2+0/2+15</t>
  </si>
  <si>
    <t>KAMTIKAR.A</t>
  </si>
  <si>
    <t>2+0/2+159</t>
  </si>
  <si>
    <t>KARVE.S</t>
  </si>
  <si>
    <t>KASBEKAR.U</t>
  </si>
  <si>
    <t>KLAVINS.N</t>
  </si>
  <si>
    <t>KULKARNI.K</t>
  </si>
  <si>
    <t>KUMAR.A</t>
  </si>
  <si>
    <t>MITHSAGAR.A</t>
  </si>
  <si>
    <t>ROONEY.B</t>
  </si>
  <si>
    <t>ROOSE.D</t>
  </si>
  <si>
    <t>SHARMA.S</t>
  </si>
  <si>
    <t>SIRCAR. Rushal</t>
  </si>
  <si>
    <t>2+2/2+51</t>
  </si>
  <si>
    <t>3+0/2+0</t>
  </si>
  <si>
    <t>TALEGAONKAR.C</t>
  </si>
  <si>
    <t>JOGLEKAR.S</t>
  </si>
  <si>
    <t>BROMLEY.A</t>
  </si>
  <si>
    <t>CHAMBERS.G</t>
  </si>
  <si>
    <t>COMBER.L</t>
  </si>
  <si>
    <t>2+0/2+22</t>
  </si>
  <si>
    <t>EUBERGANG.N</t>
  </si>
  <si>
    <t>GHANI.S</t>
  </si>
  <si>
    <t>HEHIR.A</t>
  </si>
  <si>
    <t>HEHIR.D</t>
  </si>
  <si>
    <t>4+9/2+7</t>
  </si>
  <si>
    <t>HRABAL.D</t>
  </si>
  <si>
    <t>KASHIP.J</t>
  </si>
  <si>
    <t>KORGANKAR.A</t>
  </si>
  <si>
    <t>McKAY.D</t>
  </si>
  <si>
    <t>MONGA.N</t>
  </si>
  <si>
    <t>8+13/2+143</t>
  </si>
  <si>
    <t>7+9/2+1</t>
  </si>
  <si>
    <t>6+13/2+96</t>
  </si>
  <si>
    <t>SARVE Apurwa (Jnr)</t>
  </si>
  <si>
    <t>MELETHAT.S</t>
  </si>
  <si>
    <t>ABHAYARATNE.H</t>
  </si>
  <si>
    <t>ABHAYARATNE.S</t>
  </si>
  <si>
    <t>4+0/2+27</t>
  </si>
  <si>
    <t>ARNEJA.P</t>
  </si>
  <si>
    <t>4+6/2+0</t>
  </si>
  <si>
    <t>2+0/2+52</t>
  </si>
  <si>
    <t>4+11/2+1</t>
  </si>
  <si>
    <t>GONDAL.H</t>
  </si>
  <si>
    <t>7+9/2+140</t>
  </si>
  <si>
    <t>3+6/2+12</t>
  </si>
  <si>
    <t>6+9/2+7</t>
  </si>
  <si>
    <t>HEALY.B</t>
  </si>
  <si>
    <t>HICKEY.B</t>
  </si>
  <si>
    <t>9+12/2+109</t>
  </si>
  <si>
    <t>JARVIS.J</t>
  </si>
  <si>
    <t>JAVED.K</t>
  </si>
  <si>
    <t>4+7/2+1</t>
  </si>
  <si>
    <t>KHADILKAR.Y</t>
  </si>
  <si>
    <t>1+0/2+39</t>
  </si>
  <si>
    <t>MENDIS.S</t>
  </si>
  <si>
    <t>1+0/2+150</t>
  </si>
  <si>
    <t>NIJAMUDEEN.J</t>
  </si>
  <si>
    <t>2+5/2+16</t>
  </si>
  <si>
    <t>8+44/2+3</t>
  </si>
  <si>
    <t>PATTERSON.D</t>
  </si>
  <si>
    <t>2+0/2+262</t>
  </si>
  <si>
    <t>0+0/2+191</t>
  </si>
  <si>
    <t>7+11/2+30</t>
  </si>
  <si>
    <t xml:space="preserve">             -   AKUMAR.B</t>
  </si>
  <si>
    <t>SHANMUGANANTH-</t>
  </si>
  <si>
    <t>SINGH.R</t>
  </si>
  <si>
    <t>4+2/2+73</t>
  </si>
  <si>
    <t>UPPAL.G</t>
  </si>
  <si>
    <t>5+0/2+143</t>
  </si>
  <si>
    <t>WAGH.V</t>
  </si>
  <si>
    <t>WALKER.M</t>
  </si>
  <si>
    <t>WARDHER.V</t>
  </si>
  <si>
    <t>WELLS.C</t>
  </si>
  <si>
    <t>WYND.L</t>
  </si>
  <si>
    <t>24+116/2+119</t>
  </si>
  <si>
    <t>4+2/2+54</t>
  </si>
  <si>
    <t>3+4/2+9</t>
  </si>
  <si>
    <t>2+8/2+9</t>
  </si>
  <si>
    <t>BODDUPALLI.S</t>
  </si>
  <si>
    <t>2+0/2+72</t>
  </si>
  <si>
    <t>14+38/2+184</t>
  </si>
  <si>
    <t>GADHIA.A</t>
  </si>
  <si>
    <t>GILL.P</t>
  </si>
  <si>
    <t>11+20/2+182</t>
  </si>
  <si>
    <t>2+0/2+50</t>
  </si>
  <si>
    <t>1+0/2+26</t>
  </si>
  <si>
    <t>KOHNE.M</t>
  </si>
  <si>
    <t>MAITRA.A</t>
  </si>
  <si>
    <t>MEHRA.R</t>
  </si>
  <si>
    <t>0+0/2+10</t>
  </si>
  <si>
    <t>RAMBHATLA.H</t>
  </si>
  <si>
    <t>ROPER.D</t>
  </si>
  <si>
    <t>4+11/2+5</t>
  </si>
  <si>
    <t>SHUKLA.H</t>
  </si>
  <si>
    <t>STORAN.J</t>
  </si>
  <si>
    <t>SWEERTS.B</t>
  </si>
  <si>
    <t>TELLIS.A</t>
  </si>
  <si>
    <t>VAS.J</t>
  </si>
  <si>
    <t>WHITE.D</t>
  </si>
  <si>
    <t>8+6/2+196</t>
  </si>
  <si>
    <t>ANDERSON.J.C</t>
  </si>
  <si>
    <t>NA</t>
  </si>
  <si>
    <t>2+1/2+3</t>
  </si>
  <si>
    <t>7+4/2+68</t>
  </si>
  <si>
    <t>BALAMURUGAN.K.S</t>
  </si>
  <si>
    <t>BALAMURUGAN.R.R</t>
  </si>
  <si>
    <t>BROMLEY.W</t>
  </si>
  <si>
    <t>BUTT.M</t>
  </si>
  <si>
    <t>CAMEROTTO.S</t>
  </si>
  <si>
    <t>5+5/2+4</t>
  </si>
  <si>
    <t>CONNOLLY.F</t>
  </si>
  <si>
    <t>FROELICH.A</t>
  </si>
  <si>
    <t>10+36/2+4</t>
  </si>
  <si>
    <t>GOPAKUMAR.K</t>
  </si>
  <si>
    <t>3+3/2+107</t>
  </si>
  <si>
    <t>IYER.M</t>
  </si>
  <si>
    <t>JOSEPH.A.K</t>
  </si>
  <si>
    <t>KHAN.M</t>
  </si>
  <si>
    <t>KURIEN.J</t>
  </si>
  <si>
    <t>KURUP.R</t>
  </si>
  <si>
    <t>MICHAEL.D</t>
  </si>
  <si>
    <t>8+40/2+8</t>
  </si>
  <si>
    <t>MYAGERIMATH.K</t>
  </si>
  <si>
    <t>GULATI.G</t>
  </si>
  <si>
    <t>NITHYAKEERTHY.A</t>
  </si>
  <si>
    <t>PANCHOLI.P.M</t>
  </si>
  <si>
    <t>4+4/2+0</t>
  </si>
  <si>
    <t>POWELL.L</t>
  </si>
  <si>
    <t>RAAD.S</t>
  </si>
  <si>
    <t>2+5/2+0</t>
  </si>
  <si>
    <t>7+3/2+113</t>
  </si>
  <si>
    <t>RAVICHANDRAN.A</t>
  </si>
  <si>
    <t>SALWAN.H</t>
  </si>
  <si>
    <t>SHAW.P</t>
  </si>
  <si>
    <t>SMIT.C</t>
  </si>
  <si>
    <t>THOMAS.G</t>
  </si>
  <si>
    <t>UNNIKRISHNAN.N</t>
  </si>
  <si>
    <t>VARGHEER.S</t>
  </si>
  <si>
    <t>4+15/2+8</t>
  </si>
  <si>
    <t>WASON.V</t>
  </si>
  <si>
    <t>1+0/2+20</t>
  </si>
  <si>
    <t>SIVAKUMARAN.A</t>
  </si>
  <si>
    <t>2+5/2+14</t>
  </si>
  <si>
    <t>BHARADWAJ. Rikhil</t>
  </si>
  <si>
    <t>BHARADWAJ. Raghu</t>
  </si>
  <si>
    <t>BHASKAR.S</t>
  </si>
  <si>
    <t>CHEAH.J</t>
  </si>
  <si>
    <t>1+0/2+29</t>
  </si>
  <si>
    <t>GANAPATHY.K</t>
  </si>
  <si>
    <t>GEORGE.Chris</t>
  </si>
  <si>
    <t>JAYARATNE.R</t>
  </si>
  <si>
    <t>JAYASURIYA.K</t>
  </si>
  <si>
    <t>JAYASURIYA.T</t>
  </si>
  <si>
    <t>KARTHIK.G</t>
  </si>
  <si>
    <t>KOTHARI.D</t>
  </si>
  <si>
    <t>OLDMAN.A</t>
  </si>
  <si>
    <t>18+88/2+275</t>
  </si>
  <si>
    <t>POWELL.Z</t>
  </si>
  <si>
    <t>SANKAR.R</t>
  </si>
  <si>
    <t>SANKAR.S</t>
  </si>
  <si>
    <t>SHAH.V</t>
  </si>
  <si>
    <t>TELLIS.K</t>
  </si>
  <si>
    <t>THOMAN.A</t>
  </si>
  <si>
    <t>1+0/2+7</t>
  </si>
  <si>
    <t>YOUNG.P.N</t>
  </si>
  <si>
    <t>1+0/2=111</t>
  </si>
  <si>
    <t>2+6/2+30</t>
  </si>
  <si>
    <t>1+0/1+1</t>
  </si>
  <si>
    <t>CAREER-T20</t>
  </si>
  <si>
    <t>N.O</t>
  </si>
  <si>
    <t>0+0/2+22 +5/2</t>
  </si>
  <si>
    <t>1+0/2+42</t>
  </si>
  <si>
    <t>2+0/2+23</t>
  </si>
  <si>
    <t>2+10/2+0</t>
  </si>
  <si>
    <t>BAKSHI.S</t>
  </si>
  <si>
    <t>BHARADWAJ. Rahul</t>
  </si>
  <si>
    <t>3+0/2+66</t>
  </si>
  <si>
    <t>GUHA.C</t>
  </si>
  <si>
    <t>GUHAN.G</t>
  </si>
  <si>
    <t>6+3/2+67</t>
  </si>
  <si>
    <t>11+17/2+18</t>
  </si>
  <si>
    <t>HEALY.C</t>
  </si>
  <si>
    <t>1+0/2+19</t>
  </si>
  <si>
    <t>3+10/2+36+2/2</t>
  </si>
  <si>
    <t>MAIOLO.M</t>
  </si>
  <si>
    <t>0+0/2+3+1/2</t>
  </si>
  <si>
    <t>4+16/2+8</t>
  </si>
  <si>
    <t>O',DWYER.K</t>
  </si>
  <si>
    <t>OMARI.O</t>
  </si>
  <si>
    <t>1+0/2+2</t>
  </si>
  <si>
    <t>PETRIC.D</t>
  </si>
  <si>
    <t>PUNNIAKOTI.G</t>
  </si>
  <si>
    <t>6+3/2+174+5/2</t>
  </si>
  <si>
    <t>RAGHAVAN.R</t>
  </si>
  <si>
    <t>2+8/2+4</t>
  </si>
  <si>
    <t>SWAMY.A</t>
  </si>
  <si>
    <t>3+1/2+37+2/2</t>
  </si>
  <si>
    <t>TABORSKY.T</t>
  </si>
  <si>
    <t>TRIPATHI.A</t>
  </si>
  <si>
    <t>VERMA.B</t>
  </si>
  <si>
    <t>VOULANIS.T</t>
  </si>
  <si>
    <t>2+4/2+4</t>
  </si>
  <si>
    <t>2+9/2+16</t>
  </si>
  <si>
    <t>WOOD.S</t>
  </si>
  <si>
    <t>0+0/2+5+4/2</t>
  </si>
  <si>
    <t>2+2/2+4</t>
  </si>
  <si>
    <t>BALASHANMUGAN.Y</t>
  </si>
  <si>
    <t>DIAS.R</t>
  </si>
  <si>
    <t>MADUSHANKA.D</t>
  </si>
  <si>
    <t>MALALASEKERA.D</t>
  </si>
  <si>
    <t>MORLEY.J</t>
  </si>
  <si>
    <t>PENNYCOOK.R</t>
  </si>
  <si>
    <t>TIMORI.M</t>
  </si>
  <si>
    <t>BLACKER.N</t>
  </si>
  <si>
    <t>BRIGINSHAW.Josha</t>
  </si>
  <si>
    <t>0+0/2+73+1/2</t>
  </si>
  <si>
    <t>11+72/2+169</t>
  </si>
  <si>
    <t>GEORGE. Cooper</t>
  </si>
  <si>
    <t>GOEL.V</t>
  </si>
  <si>
    <t>HEATH.M</t>
  </si>
  <si>
    <t>0+0/2+0+2/2</t>
  </si>
  <si>
    <t>NOONAN.B</t>
  </si>
  <si>
    <t>O'ROURKE.L</t>
  </si>
  <si>
    <t>0+0/2+13+4/2</t>
  </si>
  <si>
    <t>TOTLANI.L</t>
  </si>
  <si>
    <t>MAHENDRARAJAH.B</t>
  </si>
  <si>
    <t>0+0/2+39 + 2/2</t>
  </si>
  <si>
    <t>0+0/2+6+4/2</t>
  </si>
  <si>
    <t>0+0/2+22</t>
  </si>
  <si>
    <t>0+0/2+9+0/2</t>
  </si>
  <si>
    <t>3+0/2+299+4/2</t>
  </si>
  <si>
    <t>0+0/2+5=1/2</t>
  </si>
  <si>
    <t>FARREL. Dom</t>
  </si>
  <si>
    <t>0+0/2+8+1/2</t>
  </si>
  <si>
    <t>10+0/2+218+14/2</t>
  </si>
  <si>
    <t>GRAHAM.S</t>
  </si>
  <si>
    <t>0+0/2+0+1/2</t>
  </si>
  <si>
    <t>IVETIC.S</t>
  </si>
  <si>
    <t>JANNSEN. Jack</t>
  </si>
  <si>
    <t>1+0/2+31</t>
  </si>
  <si>
    <t>KUMAR.S</t>
  </si>
  <si>
    <t>0+0/2+9</t>
  </si>
  <si>
    <t>6+26/2+318</t>
  </si>
  <si>
    <t>MOHAMED.F</t>
  </si>
  <si>
    <t>0+0/2+20+8/2</t>
  </si>
  <si>
    <t>QURESHI.M</t>
  </si>
  <si>
    <t>RICHARDS.L</t>
  </si>
  <si>
    <t>0+0/2+0=1/2</t>
  </si>
  <si>
    <t>SATHIYASEELAN.K</t>
  </si>
  <si>
    <t>WEERASINGHE.J</t>
  </si>
  <si>
    <t>WILLOUGHBY.N</t>
  </si>
  <si>
    <t>EMSLIE.R</t>
  </si>
  <si>
    <t>ADHJIKARI .I</t>
  </si>
  <si>
    <t>AFZAL. H</t>
  </si>
  <si>
    <t>ANDERSON. J</t>
  </si>
  <si>
    <t>ANDERSON. L</t>
  </si>
  <si>
    <t>ANDERSON.R.D</t>
  </si>
  <si>
    <t>ARACHCHIGE . V</t>
  </si>
  <si>
    <t>0 + 0/2 +13 + 2/2</t>
  </si>
  <si>
    <t>4+1/2+237 + 0/2</t>
  </si>
  <si>
    <t>CHGRISTENSEN. J</t>
  </si>
  <si>
    <t>0 + 0/2 +0 +1/2</t>
  </si>
  <si>
    <t>4+0/2+205</t>
  </si>
  <si>
    <t>0+0/2+65+6/2</t>
  </si>
  <si>
    <t>GAMAGE. S</t>
  </si>
  <si>
    <t>GORDON. S</t>
  </si>
  <si>
    <t>4+12/2+17+0/2</t>
  </si>
  <si>
    <t>6+31/2+35 +2/2</t>
  </si>
  <si>
    <t>0+0/2+50+3/2</t>
  </si>
  <si>
    <t>2+4/2+2+ 0/2</t>
  </si>
  <si>
    <t>KUIPER. T</t>
  </si>
  <si>
    <t>4+3/2+39 + 0/2</t>
  </si>
  <si>
    <t>2+10/2+257+10/2</t>
  </si>
  <si>
    <t>0+0/2+16+3/2</t>
  </si>
  <si>
    <t>ROBJANT. A</t>
  </si>
  <si>
    <t>STILES. A</t>
  </si>
  <si>
    <t>0+0/2+66+8/2</t>
  </si>
  <si>
    <t>STORAN. S</t>
  </si>
  <si>
    <t>0+0/2+32+0/2</t>
  </si>
  <si>
    <t>THORPE. B</t>
  </si>
  <si>
    <t>0+0/2+4+0/2</t>
  </si>
  <si>
    <t>0+0/2+22+9/2</t>
  </si>
  <si>
    <t>VIRK. A</t>
  </si>
  <si>
    <t>MYAGERIMATH.J</t>
  </si>
  <si>
    <t>4+0/2+219 + 7/2</t>
  </si>
  <si>
    <t>BHAT.V</t>
  </si>
  <si>
    <t>DINESHKUMAR.D</t>
  </si>
  <si>
    <t>0+0/2+8+0/2</t>
  </si>
  <si>
    <t>JACOBS.K</t>
  </si>
  <si>
    <t>JAHAN.M.S</t>
  </si>
  <si>
    <t>JOSHI.V</t>
  </si>
  <si>
    <t>KRISHNA.S</t>
  </si>
  <si>
    <t>MIRCHANDANI.A</t>
  </si>
  <si>
    <t>MOTURI.S</t>
  </si>
  <si>
    <t>5+5/2+28+1/2</t>
  </si>
  <si>
    <t>1+0/2+40+1/2</t>
  </si>
  <si>
    <t>NELLURI.P</t>
  </si>
  <si>
    <t>0+0/2+8+4/2</t>
  </si>
  <si>
    <t>NORMAN-HADE.J</t>
  </si>
  <si>
    <t>6+13/2+116+1/2</t>
  </si>
  <si>
    <t>RIZMAN.M</t>
  </si>
  <si>
    <t>SOORIYAARACHCHI.C</t>
  </si>
  <si>
    <t>2+3/2+73+6/2</t>
  </si>
  <si>
    <t>VERDANT.J</t>
  </si>
  <si>
    <t>BINU. Joseph</t>
  </si>
  <si>
    <t>0+0/2+44+3/2</t>
  </si>
  <si>
    <t>0+0/2 + 37 +8/2</t>
  </si>
  <si>
    <t>1+0/2+19+4/2</t>
  </si>
  <si>
    <t>BATTAGLINI. J</t>
  </si>
  <si>
    <t>BILAGI. Y</t>
  </si>
  <si>
    <t>2+4/2+7+0/2</t>
  </si>
  <si>
    <t>BRIDDOCK. O</t>
  </si>
  <si>
    <t>0+0/2+6+0/2</t>
  </si>
  <si>
    <t>DELANY. D</t>
  </si>
  <si>
    <t>0+0/2+7+2/1</t>
  </si>
  <si>
    <t>ELLWOOD. J</t>
  </si>
  <si>
    <t>5+1/2+231+7/2</t>
  </si>
  <si>
    <t>GULATI. A</t>
  </si>
  <si>
    <t>0+0/2+2+0/2</t>
  </si>
  <si>
    <t>GULATI. R</t>
  </si>
  <si>
    <t>GUPTA.Ankit</t>
  </si>
  <si>
    <t>HARVEY. Lucas</t>
  </si>
  <si>
    <t>HASSAN. U</t>
  </si>
  <si>
    <t>7+2/2+91 + 8/2</t>
  </si>
  <si>
    <t>JOHNSON. E</t>
  </si>
  <si>
    <t>0+0/2+1+0/2</t>
  </si>
  <si>
    <t>KALUMUNI. I</t>
  </si>
  <si>
    <t>KHANNA. N</t>
  </si>
  <si>
    <t>KHOKHAR. U</t>
  </si>
  <si>
    <t>0+0/2+5+0/2</t>
  </si>
  <si>
    <t>KOCHHAR. N</t>
  </si>
  <si>
    <t>KOCHHAR. R</t>
  </si>
  <si>
    <t>`8</t>
  </si>
  <si>
    <t>LOKUBALASURIYA. L</t>
  </si>
  <si>
    <t>1+0/2+88+3/2</t>
  </si>
  <si>
    <t>MENDU. Harsha. K</t>
  </si>
  <si>
    <t>MENDU.Harindra.K</t>
  </si>
  <si>
    <t>0+0/2+10+0/2</t>
  </si>
  <si>
    <t>MENDU. Raghu. S</t>
  </si>
  <si>
    <t>MILLER. E</t>
  </si>
  <si>
    <t>MILLER. M</t>
  </si>
  <si>
    <t>MORE. A</t>
  </si>
  <si>
    <t>0+0/2+10+6/2</t>
  </si>
  <si>
    <t>0+0/2+47+15/2</t>
  </si>
  <si>
    <t>SANDARUWAN. L</t>
  </si>
  <si>
    <t>0+0/2+3+0/2</t>
  </si>
  <si>
    <t>1+0/2+170+17/2</t>
  </si>
  <si>
    <t>10+42/2+105+0/2</t>
  </si>
  <si>
    <t>SINGH. G</t>
  </si>
  <si>
    <t>SINGH. Smaran</t>
  </si>
  <si>
    <t>TABORSKY. M</t>
  </si>
  <si>
    <t>TYAGI. S</t>
  </si>
  <si>
    <t>WALKER. Ethan</t>
  </si>
  <si>
    <t>0+0/2+0+4/2</t>
  </si>
  <si>
    <t>0+0/2+12+5/2</t>
  </si>
  <si>
    <t>0+0/2+43 + 0/2</t>
  </si>
  <si>
    <t>GOLDSMITH. T</t>
  </si>
  <si>
    <t>0+0/2+14+5/2</t>
  </si>
  <si>
    <t>KADAM. M</t>
  </si>
  <si>
    <t>KANNIYAPPAN. D</t>
  </si>
  <si>
    <t>MALHI. N</t>
  </si>
  <si>
    <t>0+0/2+22+4/2</t>
  </si>
  <si>
    <t>PASCOE. J</t>
  </si>
  <si>
    <t>0+0/2+16+6/2</t>
  </si>
  <si>
    <t>0+0/2+2+1/2</t>
  </si>
  <si>
    <t>QUERSHI.M</t>
  </si>
  <si>
    <t>0+0/2+59+21/2</t>
  </si>
  <si>
    <t>QURESHI. K</t>
  </si>
  <si>
    <t>SAGHEER. H</t>
  </si>
  <si>
    <t>2+1/2+2+0/2</t>
  </si>
  <si>
    <t>SANKAR. K</t>
  </si>
  <si>
    <t>0+0/2+103+15/2</t>
  </si>
  <si>
    <t>SHARMA. A</t>
  </si>
  <si>
    <t>SINGH. K</t>
  </si>
  <si>
    <t>SINGH. Raj</t>
  </si>
  <si>
    <t>0+0/2+12+_4/2</t>
  </si>
  <si>
    <t>TRIVED. V</t>
  </si>
  <si>
    <t>AGRAWAL.K</t>
  </si>
  <si>
    <t>AMBI. M</t>
  </si>
  <si>
    <t>ATULUYGA. B</t>
  </si>
  <si>
    <t>BARTLET. B</t>
  </si>
  <si>
    <t>0 + 0/2+326+1/2</t>
  </si>
  <si>
    <t>5+0/2+45+1/2</t>
  </si>
  <si>
    <t>CHANDRAGIRI. V</t>
  </si>
  <si>
    <t>6+2/2+209+48/2</t>
  </si>
  <si>
    <t>0+0/2+73+22/2</t>
  </si>
  <si>
    <t>CHRISTOPHER. W</t>
  </si>
  <si>
    <t>CONNAUGHTON. Z</t>
  </si>
  <si>
    <t>DESILVA. N</t>
  </si>
  <si>
    <t>0+0/2+1+4/2</t>
  </si>
  <si>
    <t>DHAKSHINAMOORETHY</t>
  </si>
  <si>
    <t>Added Juniors</t>
  </si>
  <si>
    <t>still Junior 2025</t>
  </si>
  <si>
    <t>FAUZAAN. O</t>
  </si>
  <si>
    <t>FISHER. C</t>
  </si>
  <si>
    <t>3+1/2+31+6/2</t>
  </si>
  <si>
    <t>0 + 0/2+24 +17/2</t>
  </si>
  <si>
    <t>0+0/2+5+7/2</t>
  </si>
  <si>
    <t>KHOKHA.K</t>
  </si>
  <si>
    <t>1+0/2+0+0/2</t>
  </si>
  <si>
    <t>0+0/2+24+2/2</t>
  </si>
  <si>
    <t>MADAM. A</t>
  </si>
  <si>
    <t>0+0/2+6+2/2</t>
  </si>
  <si>
    <t>MANAMPERI. K</t>
  </si>
  <si>
    <t>MALHI. G</t>
  </si>
  <si>
    <t>0+0/2+19+7/2</t>
  </si>
  <si>
    <t>3+0/2+112+18/2</t>
  </si>
  <si>
    <t>0+0/2+133+38/2</t>
  </si>
  <si>
    <t>MODI. A</t>
  </si>
  <si>
    <t>0+0/2+34+13/2</t>
  </si>
  <si>
    <t>NAIDU. A</t>
  </si>
  <si>
    <t>PERERA. D</t>
  </si>
  <si>
    <t>0+0/2+22+1/2</t>
  </si>
  <si>
    <t>SCHMIDT. P</t>
  </si>
  <si>
    <t>0+0/2+16+8/2</t>
  </si>
  <si>
    <t>0+0/2+99+/2</t>
  </si>
  <si>
    <t>25+182/2+309+ 18/2</t>
  </si>
  <si>
    <t>9+3/2+123+4/2</t>
  </si>
  <si>
    <t>0 + 0/2+84+ 18/2</t>
  </si>
  <si>
    <t>0+0/2+146+ 25/2</t>
  </si>
  <si>
    <t>0+0/2+32+17/2</t>
  </si>
  <si>
    <t>0 +0/2+90+30/2</t>
  </si>
  <si>
    <t>3+0/2+386+ 3/2</t>
  </si>
  <si>
    <t>1+0/2+295+0/2</t>
  </si>
  <si>
    <t>0 + 0/2 +333 + 10/2</t>
  </si>
  <si>
    <t>10+19/2+231+9/2</t>
  </si>
  <si>
    <t>DIAS. R</t>
  </si>
  <si>
    <t>0+0/2+12+1/2</t>
  </si>
  <si>
    <t>0+0/2+115+10/2</t>
  </si>
  <si>
    <t>0+0/2+14+1/2</t>
  </si>
  <si>
    <t>0+0/2+111+1923</t>
  </si>
  <si>
    <t>0+0/2+12+8/2</t>
  </si>
  <si>
    <t>GOMATAM. S</t>
  </si>
  <si>
    <t>2+3/2+69+8/2</t>
  </si>
  <si>
    <t>GUNARATNE. D</t>
  </si>
  <si>
    <t>0+0/2+12+6/2</t>
  </si>
  <si>
    <t>0+0/2+44+0/2</t>
  </si>
  <si>
    <t>6+9/2+254 +23/2</t>
  </si>
  <si>
    <t>5+0/2+201+34/2</t>
  </si>
  <si>
    <t>JAIN. H</t>
  </si>
  <si>
    <t>6+24/2+94+6/2</t>
  </si>
  <si>
    <t>3+10/2+125+25/2</t>
  </si>
  <si>
    <t>0+0/2+96+10/2</t>
  </si>
  <si>
    <t>KANDOLA. S</t>
  </si>
  <si>
    <t>0+0/2+5+1/2</t>
  </si>
  <si>
    <t>0+0/2+46+17/2</t>
  </si>
  <si>
    <t>0+0/2+14+7/2</t>
  </si>
  <si>
    <t>0+0/2+58+21/2</t>
  </si>
  <si>
    <t>MANTRIPRAG. A</t>
  </si>
  <si>
    <t>0+0/2+6+5/2</t>
  </si>
  <si>
    <t>8+29/2+22+0/2</t>
  </si>
  <si>
    <t>0+0/2+29/2+3/2</t>
  </si>
  <si>
    <t>0+0/2+81+4/2</t>
  </si>
  <si>
    <t>NAGA. R</t>
  </si>
  <si>
    <t>0+0/s+5+0/2</t>
  </si>
  <si>
    <t>NIKAM. S</t>
  </si>
  <si>
    <t>NEGI. P</t>
  </si>
  <si>
    <t>0+0/2+4+2/2</t>
  </si>
  <si>
    <t>0+0/2+98+14/2</t>
  </si>
  <si>
    <t>0+0/2+127+23/2</t>
  </si>
  <si>
    <t>PANDYA. Aansh</t>
  </si>
  <si>
    <t>PANDYA. D</t>
  </si>
  <si>
    <t>)+0/2+1+0/2</t>
  </si>
  <si>
    <t>0+0/2+15+3/2</t>
  </si>
  <si>
    <t>0+0/2+09+8/2</t>
  </si>
  <si>
    <t>0+0/2+55+14/2</t>
  </si>
  <si>
    <t>SELLKIAH. H</t>
  </si>
  <si>
    <t>12.o</t>
  </si>
  <si>
    <t>0+0/2+12+0/2</t>
  </si>
  <si>
    <t>SETH. D</t>
  </si>
  <si>
    <t>0+0/2+11+1/2</t>
  </si>
  <si>
    <t>SHARGA. G</t>
  </si>
  <si>
    <t>0+0/2+4+3/2</t>
  </si>
  <si>
    <t>0+0/2+18+8/2</t>
  </si>
  <si>
    <t>0+0/2+117+30/2</t>
  </si>
  <si>
    <t>3+0/2+318+2/2</t>
  </si>
  <si>
    <t>SRINIVAS. B. V</t>
  </si>
  <si>
    <t>0+0/2+52+2/2</t>
  </si>
  <si>
    <t>0+0/2+45+12/2</t>
  </si>
  <si>
    <t>0+0/2+89+14/2</t>
  </si>
  <si>
    <t>0+0/2+67+8/2</t>
  </si>
  <si>
    <t>TYSSEN. H</t>
  </si>
  <si>
    <t>THYSSEN. J</t>
  </si>
  <si>
    <t>0+0/2+1+3/2</t>
  </si>
  <si>
    <t>VIRK. Shoaib</t>
  </si>
  <si>
    <t>0+0/2+103+27/2</t>
  </si>
  <si>
    <t>1980-2026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</si>
</sst>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/>
    <xf numFmtId="2" fontId="5" fillId="0" borderId="0" xfId="0" applyNumberFormat="1" applyFont="1" applyAlignment="1">
      <alignment horizontal="center"/>
    </xf>
    <xf numFmtId="164" fontId="5" fillId="0" borderId="0" xfId="0" applyNumberFormat="1" applyFont="1"/>
    <xf numFmtId="164" fontId="1" fillId="0" borderId="0" xfId="0" applyNumberFormat="1" applyFont="1"/>
    <xf numFmtId="0" fontId="8" fillId="0" borderId="0" xfId="0" applyFont="1"/>
    <xf numFmtId="1" fontId="5" fillId="0" borderId="0" xfId="0" applyNumberFormat="1" applyFont="1"/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0" fontId="5" fillId="0" borderId="0" xfId="0" quotePrefix="1" applyFont="1"/>
    <xf numFmtId="164" fontId="8" fillId="0" borderId="0" xfId="0" applyNumberFormat="1" applyFont="1"/>
    <xf numFmtId="2" fontId="8" fillId="0" borderId="0" xfId="0" applyNumberFormat="1" applyFont="1"/>
    <xf numFmtId="9" fontId="1" fillId="0" borderId="0" xfId="1"/>
    <xf numFmtId="164" fontId="5" fillId="0" borderId="0" xfId="1" applyNumberFormat="1" applyFont="1"/>
    <xf numFmtId="0" fontId="9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641480</xdr:colOff>
      <xdr:row>0</xdr:row>
      <xdr:rowOff>194388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B0B682-6E10-DC14-A9BB-7F8E7595E708}"/>
            </a:ext>
          </a:extLst>
        </xdr:cNvPr>
        <xdr:cNvSpPr txBox="1"/>
      </xdr:nvSpPr>
      <xdr:spPr>
        <a:xfrm>
          <a:off x="641480" y="1943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90"/>
  <sheetViews>
    <sheetView tabSelected="1" zoomScale="98" zoomScaleNormal="98" workbookViewId="0">
      <selection activeCell="AJ103" sqref="AJ103"/>
    </sheetView>
  </sheetViews>
  <sheetFormatPr defaultRowHeight="15" x14ac:dyDescent="0.25"/>
  <cols>
    <col min="1" max="1" width="16.140625" style="1" customWidth="1"/>
    <col min="2" max="2" width="5" style="1" customWidth="1"/>
    <col min="3" max="3" width="6.28515625" style="1" customWidth="1"/>
    <col min="4" max="5" width="4.5703125" style="1" customWidth="1"/>
    <col min="6" max="6" width="6.28515625" style="1" customWidth="1"/>
    <col min="7" max="7" width="4.85546875" style="1" customWidth="1"/>
    <col min="8" max="8" width="6.28515625" style="1" customWidth="1"/>
    <col min="9" max="9" width="6" style="1" customWidth="1"/>
    <col min="10" max="10" width="1.42578125" style="1" customWidth="1"/>
    <col min="11" max="11" width="0.42578125" style="1" hidden="1" customWidth="1"/>
    <col min="12" max="12" width="5" style="1" customWidth="1"/>
    <col min="13" max="13" width="5.42578125" style="1" customWidth="1"/>
    <col min="14" max="15" width="4.28515625" style="1" customWidth="1"/>
    <col min="16" max="16" width="5.140625" style="1" customWidth="1"/>
    <col min="17" max="17" width="6.140625" style="1" customWidth="1"/>
    <col min="18" max="18" width="5.28515625" style="1" customWidth="1"/>
    <col min="19" max="19" width="5.5703125" style="1" customWidth="1"/>
    <col min="20" max="20" width="1.7109375" style="1" customWidth="1"/>
    <col min="21" max="21" width="4.5703125" style="1" customWidth="1"/>
    <col min="22" max="22" width="5.28515625" style="1" customWidth="1"/>
    <col min="23" max="23" width="4" style="1" customWidth="1"/>
    <col min="24" max="24" width="4.140625" style="1" customWidth="1"/>
    <col min="25" max="25" width="5.7109375" style="1" customWidth="1"/>
    <col min="26" max="26" width="5.140625" style="1" customWidth="1"/>
    <col min="27" max="27" width="5.7109375" style="1" customWidth="1"/>
    <col min="28" max="28" width="5.85546875" style="1" customWidth="1"/>
    <col min="29" max="29" width="2" style="1" customWidth="1"/>
    <col min="30" max="16384" width="9.140625" style="1"/>
  </cols>
  <sheetData>
    <row r="1" spans="1:31" ht="18.75" x14ac:dyDescent="0.3">
      <c r="A1" s="3" t="s">
        <v>1189</v>
      </c>
      <c r="B1" s="2" t="s">
        <v>10</v>
      </c>
      <c r="L1" s="2" t="s">
        <v>14</v>
      </c>
      <c r="U1" s="2" t="s">
        <v>871</v>
      </c>
      <c r="AD1" s="3" t="s">
        <v>7</v>
      </c>
    </row>
    <row r="2" spans="1:3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2</v>
      </c>
      <c r="I2" s="4" t="s">
        <v>5</v>
      </c>
      <c r="L2" s="4" t="s">
        <v>1</v>
      </c>
      <c r="M2" s="4" t="s">
        <v>2</v>
      </c>
      <c r="N2" s="4" t="s">
        <v>3</v>
      </c>
      <c r="O2" s="4" t="s">
        <v>4</v>
      </c>
      <c r="P2" s="4" t="s">
        <v>5</v>
      </c>
      <c r="Q2" s="4" t="s">
        <v>6</v>
      </c>
      <c r="R2" s="4" t="s">
        <v>2</v>
      </c>
      <c r="S2" s="4" t="s">
        <v>5</v>
      </c>
      <c r="T2" s="5"/>
      <c r="U2" s="3" t="s">
        <v>1</v>
      </c>
      <c r="V2" s="4" t="s">
        <v>2</v>
      </c>
      <c r="W2" s="4" t="s">
        <v>3</v>
      </c>
      <c r="X2" s="4" t="s">
        <v>872</v>
      </c>
      <c r="Y2" s="4" t="s">
        <v>5</v>
      </c>
      <c r="Z2" s="4" t="s">
        <v>6</v>
      </c>
      <c r="AA2" s="3" t="s">
        <v>2</v>
      </c>
      <c r="AB2" s="3" t="s">
        <v>5</v>
      </c>
      <c r="AD2" s="3" t="s">
        <v>8</v>
      </c>
    </row>
    <row r="3" spans="1:31" x14ac:dyDescent="0.25">
      <c r="AB3" s="7"/>
      <c r="AD3" s="3" t="s">
        <v>9</v>
      </c>
    </row>
    <row r="4" spans="1:31" x14ac:dyDescent="0.25">
      <c r="A4" s="6" t="s">
        <v>738</v>
      </c>
      <c r="B4" s="6">
        <v>14</v>
      </c>
      <c r="C4" s="6">
        <v>206</v>
      </c>
      <c r="D4" s="6">
        <v>17</v>
      </c>
      <c r="E4" s="6">
        <v>1</v>
      </c>
      <c r="F4" s="7">
        <f t="shared" ref="F4:F10" si="0">(C4/(D4-E4))</f>
        <v>12.875</v>
      </c>
      <c r="G4" s="6">
        <v>1</v>
      </c>
      <c r="H4" s="6">
        <v>72</v>
      </c>
      <c r="I4" s="7">
        <f t="shared" ref="I4:I8" si="1">(H4/G4)</f>
        <v>72</v>
      </c>
      <c r="J4" s="6"/>
      <c r="K4" s="6"/>
      <c r="L4" s="6">
        <v>7</v>
      </c>
      <c r="M4" s="6">
        <v>42</v>
      </c>
      <c r="N4" s="6">
        <v>7</v>
      </c>
      <c r="O4" s="6">
        <v>1</v>
      </c>
      <c r="P4" s="7">
        <f t="shared" ref="P4:P5" si="2">(M4/(N4-O4))</f>
        <v>7</v>
      </c>
      <c r="Q4" s="6">
        <v>1</v>
      </c>
      <c r="R4" s="6">
        <v>9</v>
      </c>
      <c r="S4" s="7">
        <f t="shared" ref="S4:S5" si="3">(R4/Q4)</f>
        <v>9</v>
      </c>
      <c r="T4" s="6"/>
      <c r="AB4" s="7"/>
      <c r="AD4" s="6"/>
      <c r="AE4" s="8" t="s">
        <v>779</v>
      </c>
    </row>
    <row r="5" spans="1:31" x14ac:dyDescent="0.25">
      <c r="A5" s="6" t="s">
        <v>739</v>
      </c>
      <c r="B5" s="6">
        <v>15</v>
      </c>
      <c r="C5" s="6">
        <v>118</v>
      </c>
      <c r="D5" s="6">
        <v>13</v>
      </c>
      <c r="E5" s="6">
        <v>8</v>
      </c>
      <c r="F5" s="7">
        <f t="shared" si="0"/>
        <v>23.6</v>
      </c>
      <c r="G5" s="6">
        <v>27</v>
      </c>
      <c r="H5" s="6">
        <v>554</v>
      </c>
      <c r="I5" s="7">
        <f t="shared" si="1"/>
        <v>20.518518518518519</v>
      </c>
      <c r="J5" s="6"/>
      <c r="K5" s="6"/>
      <c r="L5" s="6">
        <v>10</v>
      </c>
      <c r="M5" s="6">
        <v>27</v>
      </c>
      <c r="N5" s="6">
        <v>5</v>
      </c>
      <c r="O5" s="6">
        <v>4</v>
      </c>
      <c r="P5" s="7">
        <f t="shared" si="2"/>
        <v>27</v>
      </c>
      <c r="Q5" s="6">
        <v>14</v>
      </c>
      <c r="R5" s="6">
        <v>190</v>
      </c>
      <c r="S5" s="7">
        <f t="shared" si="3"/>
        <v>13.571428571428571</v>
      </c>
      <c r="T5" s="6"/>
      <c r="AB5" s="7"/>
      <c r="AD5" s="6"/>
      <c r="AE5" s="8" t="s">
        <v>780</v>
      </c>
    </row>
    <row r="6" spans="1:31" x14ac:dyDescent="0.25">
      <c r="A6" s="6" t="s">
        <v>11</v>
      </c>
      <c r="B6" s="6">
        <v>1</v>
      </c>
      <c r="C6" s="6"/>
      <c r="D6" s="6"/>
      <c r="E6" s="6"/>
      <c r="F6" s="7"/>
      <c r="G6" s="6"/>
      <c r="H6" s="6"/>
      <c r="I6" s="7"/>
      <c r="J6" s="7"/>
      <c r="K6" s="6"/>
      <c r="L6" s="6">
        <v>1</v>
      </c>
      <c r="M6" s="6"/>
      <c r="N6" s="6"/>
      <c r="O6" s="6"/>
      <c r="P6" s="7"/>
      <c r="Q6" s="6"/>
      <c r="R6" s="6"/>
      <c r="S6" s="7"/>
      <c r="T6" s="6"/>
      <c r="AB6" s="7"/>
      <c r="AD6" s="6"/>
      <c r="AE6" s="8" t="s">
        <v>23</v>
      </c>
    </row>
    <row r="7" spans="1:31" x14ac:dyDescent="0.25">
      <c r="A7" s="6" t="s">
        <v>12</v>
      </c>
      <c r="B7" s="6">
        <v>1</v>
      </c>
      <c r="C7" s="6"/>
      <c r="D7" s="6">
        <v>1</v>
      </c>
      <c r="E7" s="6"/>
      <c r="F7" s="7"/>
      <c r="G7" s="6"/>
      <c r="H7" s="6"/>
      <c r="I7" s="7"/>
      <c r="J7" s="6"/>
      <c r="K7" s="6"/>
      <c r="L7" s="6"/>
      <c r="M7" s="6"/>
      <c r="N7" s="6"/>
      <c r="O7" s="6"/>
      <c r="P7" s="7"/>
      <c r="Q7" s="6"/>
      <c r="R7" s="6"/>
      <c r="S7" s="7"/>
      <c r="T7" s="6"/>
      <c r="AA7" s="6"/>
      <c r="AB7" s="7"/>
    </row>
    <row r="8" spans="1:31" x14ac:dyDescent="0.25">
      <c r="A8" s="6" t="s">
        <v>955</v>
      </c>
      <c r="B8" s="6">
        <v>45.5</v>
      </c>
      <c r="C8" s="6">
        <v>522</v>
      </c>
      <c r="D8" s="6">
        <v>42</v>
      </c>
      <c r="E8" s="6">
        <v>7</v>
      </c>
      <c r="F8" s="7">
        <f t="shared" si="0"/>
        <v>14.914285714285715</v>
      </c>
      <c r="G8" s="6">
        <v>3</v>
      </c>
      <c r="H8" s="6">
        <v>235</v>
      </c>
      <c r="I8" s="7">
        <f t="shared" si="1"/>
        <v>78.333333333333329</v>
      </c>
      <c r="J8" s="6"/>
      <c r="K8" s="6"/>
      <c r="L8" s="6"/>
      <c r="M8" s="6"/>
      <c r="N8" s="6"/>
      <c r="O8" s="6"/>
      <c r="P8" s="7"/>
      <c r="Q8" s="6"/>
      <c r="R8" s="6"/>
      <c r="S8" s="7"/>
      <c r="T8" s="6"/>
      <c r="U8" s="13">
        <v>3</v>
      </c>
      <c r="V8" s="13">
        <v>25</v>
      </c>
      <c r="W8" s="13">
        <v>3</v>
      </c>
      <c r="X8" s="13">
        <v>2</v>
      </c>
      <c r="AA8" s="6"/>
      <c r="AB8" s="7"/>
      <c r="AE8" s="8" t="s">
        <v>1008</v>
      </c>
    </row>
    <row r="9" spans="1:31" x14ac:dyDescent="0.25">
      <c r="A9" s="6" t="s">
        <v>13</v>
      </c>
      <c r="B9" s="6">
        <v>1</v>
      </c>
      <c r="C9" s="6">
        <v>10</v>
      </c>
      <c r="D9" s="6">
        <v>2</v>
      </c>
      <c r="E9" s="6"/>
      <c r="F9" s="7">
        <f t="shared" si="0"/>
        <v>5</v>
      </c>
      <c r="G9" s="6"/>
      <c r="H9" s="6"/>
      <c r="I9" s="7"/>
      <c r="J9" s="6"/>
      <c r="K9" s="6"/>
      <c r="L9" s="6"/>
      <c r="M9" s="6"/>
      <c r="N9" s="6"/>
      <c r="O9" s="6"/>
      <c r="P9" s="7"/>
      <c r="Q9" s="6"/>
      <c r="R9" s="6"/>
      <c r="S9" s="7"/>
      <c r="T9" s="6"/>
      <c r="AA9" s="6"/>
      <c r="AB9" s="7"/>
    </row>
    <row r="10" spans="1:31" x14ac:dyDescent="0.25">
      <c r="A10" s="6" t="s">
        <v>956</v>
      </c>
      <c r="B10" s="6">
        <v>14.5</v>
      </c>
      <c r="C10" s="6">
        <v>31</v>
      </c>
      <c r="D10" s="6">
        <v>5</v>
      </c>
      <c r="E10" s="6">
        <v>1</v>
      </c>
      <c r="F10" s="7">
        <f t="shared" si="0"/>
        <v>7.75</v>
      </c>
      <c r="G10" s="6">
        <v>13</v>
      </c>
      <c r="H10" s="6">
        <v>386</v>
      </c>
      <c r="I10" s="7">
        <f t="shared" ref="I10:I105" si="4">(H10/G10)</f>
        <v>29.692307692307693</v>
      </c>
      <c r="J10" s="6"/>
      <c r="K10" s="6"/>
      <c r="L10" s="6"/>
      <c r="M10" s="6"/>
      <c r="N10" s="6"/>
      <c r="O10" s="6"/>
      <c r="P10" s="7"/>
      <c r="Q10" s="6"/>
      <c r="R10" s="6"/>
      <c r="S10" s="7"/>
      <c r="T10" s="6"/>
      <c r="U10" s="13">
        <v>5</v>
      </c>
      <c r="W10" s="13">
        <v>1</v>
      </c>
      <c r="Z10" s="13">
        <v>5</v>
      </c>
      <c r="AA10" s="6">
        <v>79</v>
      </c>
      <c r="AB10" s="7">
        <f t="shared" ref="AB10" si="5">AA10/Z10</f>
        <v>15.8</v>
      </c>
      <c r="AE10" s="8" t="s">
        <v>1057</v>
      </c>
    </row>
    <row r="11" spans="1:31" x14ac:dyDescent="0.25">
      <c r="A11" s="6" t="s">
        <v>631</v>
      </c>
      <c r="B11" s="11">
        <v>8.5</v>
      </c>
      <c r="C11" s="6">
        <v>32</v>
      </c>
      <c r="D11" s="6">
        <v>8</v>
      </c>
      <c r="E11" s="6">
        <v>4</v>
      </c>
      <c r="F11" s="7">
        <f>(C11/(D11-E11))</f>
        <v>8</v>
      </c>
      <c r="G11" s="6">
        <v>18</v>
      </c>
      <c r="H11" s="6">
        <v>278</v>
      </c>
      <c r="I11" s="7">
        <f t="shared" si="4"/>
        <v>15.444444444444445</v>
      </c>
      <c r="J11" s="6"/>
      <c r="K11" s="6"/>
      <c r="L11" s="6">
        <v>3</v>
      </c>
      <c r="M11" s="6">
        <v>13</v>
      </c>
      <c r="N11" s="6">
        <v>2</v>
      </c>
      <c r="O11" s="6">
        <v>2</v>
      </c>
      <c r="P11" s="7"/>
      <c r="Q11" s="6">
        <v>4</v>
      </c>
      <c r="R11" s="6">
        <v>59</v>
      </c>
      <c r="S11" s="7">
        <f t="shared" ref="S11:S13" si="6">(R11/Q11)</f>
        <v>14.75</v>
      </c>
      <c r="T11" s="6"/>
      <c r="AB11" s="7"/>
      <c r="AD11" s="11"/>
      <c r="AE11" s="8" t="s">
        <v>632</v>
      </c>
    </row>
    <row r="12" spans="1:31" x14ac:dyDescent="0.25">
      <c r="A12" s="6" t="s">
        <v>1080</v>
      </c>
      <c r="B12" s="11">
        <v>1</v>
      </c>
      <c r="C12" s="6"/>
      <c r="D12" s="6">
        <v>1</v>
      </c>
      <c r="E12" s="6"/>
      <c r="F12" s="7"/>
      <c r="G12" s="6">
        <v>1</v>
      </c>
      <c r="H12" s="6">
        <v>33</v>
      </c>
      <c r="I12" s="7">
        <f t="shared" si="4"/>
        <v>33</v>
      </c>
      <c r="J12" s="6"/>
      <c r="K12" s="6"/>
      <c r="L12" s="6"/>
      <c r="M12" s="6"/>
      <c r="N12" s="6"/>
      <c r="O12" s="6"/>
      <c r="P12" s="7"/>
      <c r="Q12" s="6"/>
      <c r="R12" s="6"/>
      <c r="S12" s="7"/>
      <c r="T12" s="6"/>
      <c r="AB12" s="7"/>
      <c r="AD12" s="11"/>
      <c r="AE12" s="8"/>
    </row>
    <row r="13" spans="1:31" x14ac:dyDescent="0.25">
      <c r="A13" s="6" t="s">
        <v>653</v>
      </c>
      <c r="B13" s="6">
        <v>1</v>
      </c>
      <c r="C13" s="6"/>
      <c r="D13" s="6"/>
      <c r="E13" s="6"/>
      <c r="F13" s="7"/>
      <c r="G13" s="6">
        <v>3</v>
      </c>
      <c r="H13" s="6">
        <v>14</v>
      </c>
      <c r="I13" s="7">
        <f t="shared" si="4"/>
        <v>4.666666666666667</v>
      </c>
      <c r="J13" s="6"/>
      <c r="K13" s="6"/>
      <c r="L13" s="6">
        <v>1</v>
      </c>
      <c r="M13" s="6"/>
      <c r="N13" s="6">
        <v>1</v>
      </c>
      <c r="O13" s="6"/>
      <c r="P13" s="7"/>
      <c r="Q13" s="6">
        <v>1</v>
      </c>
      <c r="R13" s="6">
        <v>33</v>
      </c>
      <c r="S13" s="7">
        <f t="shared" si="6"/>
        <v>33</v>
      </c>
      <c r="T13" s="6"/>
      <c r="AA13" s="6"/>
      <c r="AB13" s="7"/>
      <c r="AE13" s="8" t="s">
        <v>1028</v>
      </c>
    </row>
    <row r="14" spans="1:31" x14ac:dyDescent="0.25">
      <c r="A14" s="6" t="s">
        <v>15</v>
      </c>
      <c r="B14" s="6">
        <v>4</v>
      </c>
      <c r="C14" s="6">
        <v>71</v>
      </c>
      <c r="D14" s="6">
        <v>7</v>
      </c>
      <c r="E14" s="6"/>
      <c r="F14" s="7">
        <f t="shared" ref="F14:F105" si="7">(C14/(D14-E14))</f>
        <v>10.142857142857142</v>
      </c>
      <c r="G14" s="6">
        <v>10</v>
      </c>
      <c r="H14" s="6">
        <v>256</v>
      </c>
      <c r="I14" s="7">
        <f t="shared" si="4"/>
        <v>25.6</v>
      </c>
      <c r="J14" s="6"/>
      <c r="K14" s="6"/>
      <c r="L14" s="6"/>
      <c r="M14" s="6"/>
      <c r="N14" s="6"/>
      <c r="O14" s="6"/>
      <c r="P14" s="7"/>
      <c r="Q14" s="6"/>
      <c r="R14" s="6"/>
      <c r="S14" s="7"/>
      <c r="T14" s="6"/>
      <c r="AA14" s="6"/>
      <c r="AB14" s="7"/>
    </row>
    <row r="15" spans="1:31" x14ac:dyDescent="0.25">
      <c r="A15" s="6" t="s">
        <v>16</v>
      </c>
      <c r="B15" s="6">
        <v>5</v>
      </c>
      <c r="C15" s="6">
        <v>52</v>
      </c>
      <c r="D15" s="6">
        <v>6</v>
      </c>
      <c r="E15" s="6"/>
      <c r="F15" s="7">
        <f t="shared" si="7"/>
        <v>8.6666666666666661</v>
      </c>
      <c r="G15" s="6"/>
      <c r="H15" s="6">
        <v>30</v>
      </c>
      <c r="I15" s="7"/>
      <c r="J15" s="6"/>
      <c r="K15" s="6"/>
      <c r="L15" s="6"/>
      <c r="M15" s="6"/>
      <c r="N15" s="6"/>
      <c r="O15" s="6"/>
      <c r="P15" s="7"/>
      <c r="Q15" s="6"/>
      <c r="R15" s="6"/>
      <c r="S15" s="7"/>
      <c r="T15" s="6"/>
      <c r="AA15" s="6"/>
      <c r="AB15" s="7"/>
    </row>
    <row r="16" spans="1:31" x14ac:dyDescent="0.25">
      <c r="A16" s="6" t="s">
        <v>17</v>
      </c>
      <c r="B16" s="6">
        <v>89</v>
      </c>
      <c r="C16" s="6">
        <v>1372</v>
      </c>
      <c r="D16" s="6">
        <v>86</v>
      </c>
      <c r="E16" s="6">
        <v>10</v>
      </c>
      <c r="F16" s="7">
        <f t="shared" si="7"/>
        <v>18.05263157894737</v>
      </c>
      <c r="G16" s="6">
        <v>4</v>
      </c>
      <c r="H16" s="6">
        <v>59</v>
      </c>
      <c r="I16" s="7">
        <f t="shared" si="4"/>
        <v>14.75</v>
      </c>
      <c r="J16" s="6"/>
      <c r="K16" s="6"/>
      <c r="L16" s="6"/>
      <c r="M16" s="6"/>
      <c r="N16" s="6"/>
      <c r="O16" s="6"/>
      <c r="P16" s="7"/>
      <c r="Q16" s="6"/>
      <c r="R16" s="6"/>
      <c r="S16" s="7"/>
      <c r="T16" s="6"/>
      <c r="AA16" s="6"/>
      <c r="AB16" s="7"/>
    </row>
    <row r="17" spans="1:31" x14ac:dyDescent="0.25">
      <c r="A17" s="6" t="s">
        <v>18</v>
      </c>
      <c r="B17" s="6">
        <v>18</v>
      </c>
      <c r="C17" s="6">
        <v>358</v>
      </c>
      <c r="D17" s="6">
        <v>17</v>
      </c>
      <c r="E17" s="6">
        <v>2</v>
      </c>
      <c r="F17" s="7">
        <f t="shared" si="7"/>
        <v>23.866666666666667</v>
      </c>
      <c r="G17" s="6">
        <v>13</v>
      </c>
      <c r="H17" s="6">
        <v>221</v>
      </c>
      <c r="I17" s="7">
        <f t="shared" si="4"/>
        <v>17</v>
      </c>
      <c r="J17" s="6"/>
      <c r="K17" s="6"/>
      <c r="L17" s="6"/>
      <c r="M17" s="6"/>
      <c r="N17" s="6"/>
      <c r="O17" s="6"/>
      <c r="P17" s="7"/>
      <c r="Q17" s="6"/>
      <c r="R17" s="6"/>
      <c r="S17" s="7"/>
      <c r="T17" s="6"/>
      <c r="AA17" s="6"/>
      <c r="AB17" s="7"/>
    </row>
    <row r="18" spans="1:31" x14ac:dyDescent="0.25">
      <c r="A18" s="6" t="s">
        <v>19</v>
      </c>
      <c r="B18" s="6">
        <v>2</v>
      </c>
      <c r="C18" s="6"/>
      <c r="D18" s="6">
        <v>1</v>
      </c>
      <c r="E18" s="6"/>
      <c r="F18" s="7"/>
      <c r="G18" s="6"/>
      <c r="H18" s="6"/>
      <c r="I18" s="7"/>
      <c r="J18" s="6"/>
      <c r="K18" s="6"/>
      <c r="L18" s="6"/>
      <c r="M18" s="6"/>
      <c r="N18" s="6"/>
      <c r="O18" s="6"/>
      <c r="P18" s="7"/>
      <c r="Q18" s="6"/>
      <c r="R18" s="6"/>
      <c r="S18" s="7"/>
      <c r="T18" s="6"/>
      <c r="AA18" s="6"/>
      <c r="AB18" s="7"/>
    </row>
    <row r="19" spans="1:31" x14ac:dyDescent="0.25">
      <c r="A19" s="6" t="s">
        <v>1081</v>
      </c>
      <c r="B19" s="6">
        <v>5</v>
      </c>
      <c r="C19" s="6">
        <v>17</v>
      </c>
      <c r="D19" s="6">
        <v>3</v>
      </c>
      <c r="E19" s="6"/>
      <c r="F19" s="7">
        <f t="shared" si="7"/>
        <v>5.666666666666667</v>
      </c>
      <c r="G19" s="6"/>
      <c r="H19" s="6">
        <v>16</v>
      </c>
      <c r="I19" s="7"/>
      <c r="J19" s="6"/>
      <c r="K19" s="6"/>
      <c r="L19" s="6">
        <v>2</v>
      </c>
      <c r="M19" s="6"/>
      <c r="N19" s="6"/>
      <c r="O19" s="6"/>
      <c r="P19" s="7"/>
      <c r="Q19" s="6"/>
      <c r="R19" s="6">
        <v>16</v>
      </c>
      <c r="S19" s="7"/>
      <c r="T19" s="6"/>
      <c r="AA19" s="6"/>
      <c r="AB19" s="7"/>
      <c r="AE19" s="1" t="s">
        <v>1021</v>
      </c>
    </row>
    <row r="20" spans="1:31" x14ac:dyDescent="0.25">
      <c r="A20" s="6" t="s">
        <v>20</v>
      </c>
      <c r="B20" s="6">
        <v>3</v>
      </c>
      <c r="C20" s="6">
        <v>47</v>
      </c>
      <c r="D20" s="6">
        <v>3</v>
      </c>
      <c r="E20" s="6">
        <v>3</v>
      </c>
      <c r="F20" s="7"/>
      <c r="G20" s="6">
        <v>4</v>
      </c>
      <c r="H20" s="6">
        <v>48</v>
      </c>
      <c r="I20" s="7">
        <f t="shared" si="4"/>
        <v>12</v>
      </c>
      <c r="J20" s="6"/>
      <c r="K20" s="6"/>
      <c r="L20" s="6"/>
      <c r="M20" s="6"/>
      <c r="N20" s="6"/>
      <c r="O20" s="6"/>
      <c r="P20" s="7"/>
      <c r="Q20" s="6"/>
      <c r="R20" s="6"/>
      <c r="S20" s="7"/>
      <c r="T20" s="6"/>
      <c r="AA20" s="6"/>
      <c r="AB20" s="7"/>
    </row>
    <row r="21" spans="1:31" x14ac:dyDescent="0.25">
      <c r="A21" s="6" t="s">
        <v>21</v>
      </c>
      <c r="B21" s="6">
        <v>1</v>
      </c>
      <c r="C21" s="6">
        <v>3</v>
      </c>
      <c r="D21" s="6">
        <v>2</v>
      </c>
      <c r="E21" s="9"/>
      <c r="F21" s="7">
        <f>(C21/(D21-E21))</f>
        <v>1.5</v>
      </c>
      <c r="G21" s="6">
        <v>1</v>
      </c>
      <c r="H21" s="6">
        <v>2</v>
      </c>
      <c r="I21" s="7">
        <f>(H21/G21)</f>
        <v>2</v>
      </c>
      <c r="J21" s="6"/>
      <c r="K21" s="6"/>
      <c r="L21" s="6"/>
      <c r="M21" s="6"/>
      <c r="N21" s="6"/>
      <c r="O21" s="6"/>
      <c r="P21" s="7"/>
      <c r="Q21" s="6"/>
      <c r="R21" s="6"/>
      <c r="S21" s="7"/>
      <c r="T21" s="6"/>
      <c r="Y21" s="11"/>
      <c r="AA21" s="6"/>
      <c r="AB21" s="7"/>
    </row>
    <row r="22" spans="1:31" x14ac:dyDescent="0.25">
      <c r="A22" s="6" t="s">
        <v>957</v>
      </c>
      <c r="B22" s="6">
        <v>93</v>
      </c>
      <c r="C22" s="6">
        <v>270</v>
      </c>
      <c r="D22" s="6">
        <v>70</v>
      </c>
      <c r="E22" s="6">
        <v>26</v>
      </c>
      <c r="F22" s="7">
        <f t="shared" si="7"/>
        <v>6.1363636363636367</v>
      </c>
      <c r="G22" s="6">
        <v>3</v>
      </c>
      <c r="H22" s="6">
        <v>41</v>
      </c>
      <c r="I22" s="7">
        <f t="shared" si="4"/>
        <v>13.666666666666666</v>
      </c>
      <c r="J22" s="6"/>
      <c r="K22" s="6"/>
      <c r="L22" s="6"/>
      <c r="M22" s="6"/>
      <c r="N22" s="6"/>
      <c r="O22" s="6"/>
      <c r="P22" s="7"/>
      <c r="Q22" s="6"/>
      <c r="R22" s="6"/>
      <c r="S22" s="7"/>
      <c r="T22" s="6"/>
      <c r="U22" s="13">
        <v>13</v>
      </c>
      <c r="V22" s="13">
        <v>40</v>
      </c>
      <c r="W22" s="13">
        <v>7</v>
      </c>
      <c r="X22" s="13">
        <v>4</v>
      </c>
      <c r="Y22" s="11">
        <f t="shared" ref="Y22" si="8">(V22/(W22-X22))</f>
        <v>13.333333333333334</v>
      </c>
      <c r="AA22" s="6"/>
      <c r="AB22" s="7"/>
      <c r="AE22" s="8" t="s">
        <v>1121</v>
      </c>
    </row>
    <row r="23" spans="1:31" x14ac:dyDescent="0.25">
      <c r="A23" s="6" t="s">
        <v>803</v>
      </c>
      <c r="B23" s="6">
        <v>37</v>
      </c>
      <c r="C23" s="6">
        <v>149</v>
      </c>
      <c r="D23" s="6">
        <v>30</v>
      </c>
      <c r="E23" s="6">
        <v>9</v>
      </c>
      <c r="F23" s="7">
        <f t="shared" si="7"/>
        <v>7.0952380952380949</v>
      </c>
      <c r="G23" s="6">
        <v>3</v>
      </c>
      <c r="H23" s="6">
        <v>41</v>
      </c>
      <c r="I23" s="7">
        <f t="shared" si="4"/>
        <v>13.666666666666666</v>
      </c>
      <c r="J23" s="6"/>
      <c r="K23" s="6"/>
      <c r="L23" s="6">
        <v>3</v>
      </c>
      <c r="M23" s="6">
        <v>3</v>
      </c>
      <c r="N23" s="6">
        <v>3</v>
      </c>
      <c r="O23" s="6"/>
      <c r="P23" s="7">
        <f>(M23/(N23-O23))</f>
        <v>1</v>
      </c>
      <c r="Q23" s="6"/>
      <c r="R23" s="6"/>
      <c r="S23" s="7"/>
      <c r="T23" s="6"/>
      <c r="Y23" s="11"/>
      <c r="AB23" s="7"/>
      <c r="AD23" s="6"/>
      <c r="AE23" s="8" t="s">
        <v>805</v>
      </c>
    </row>
    <row r="24" spans="1:31" x14ac:dyDescent="0.25">
      <c r="A24" s="6" t="s">
        <v>958</v>
      </c>
      <c r="B24" s="6">
        <v>41</v>
      </c>
      <c r="C24" s="6">
        <v>82</v>
      </c>
      <c r="D24" s="6">
        <v>29</v>
      </c>
      <c r="E24" s="6">
        <v>12</v>
      </c>
      <c r="F24" s="7">
        <f t="shared" si="7"/>
        <v>4.8235294117647056</v>
      </c>
      <c r="G24" s="6">
        <v>24</v>
      </c>
      <c r="H24" s="6">
        <v>592</v>
      </c>
      <c r="I24" s="7">
        <f t="shared" si="4"/>
        <v>24.666666666666668</v>
      </c>
      <c r="J24" s="6"/>
      <c r="K24" s="6"/>
      <c r="L24" s="6"/>
      <c r="M24" s="6"/>
      <c r="N24" s="6"/>
      <c r="O24" s="6"/>
      <c r="P24" s="7"/>
      <c r="Q24" s="6"/>
      <c r="R24" s="6"/>
      <c r="S24" s="7"/>
      <c r="T24" s="6"/>
      <c r="U24" s="13">
        <v>8</v>
      </c>
      <c r="W24" s="8">
        <v>3</v>
      </c>
      <c r="X24" s="8">
        <v>1</v>
      </c>
      <c r="Y24" s="11"/>
      <c r="Z24" s="13">
        <v>10</v>
      </c>
      <c r="AA24" s="13">
        <v>148</v>
      </c>
      <c r="AB24" s="7">
        <f t="shared" ref="AB24:AB26" si="9">AA24/Z24</f>
        <v>14.8</v>
      </c>
      <c r="AD24" s="6"/>
      <c r="AE24" s="8" t="s">
        <v>1009</v>
      </c>
    </row>
    <row r="25" spans="1:31" x14ac:dyDescent="0.25">
      <c r="A25" s="6" t="s">
        <v>22</v>
      </c>
      <c r="B25" s="6">
        <v>1</v>
      </c>
      <c r="C25" s="6">
        <v>4</v>
      </c>
      <c r="D25" s="6">
        <v>1</v>
      </c>
      <c r="E25" s="6"/>
      <c r="F25" s="7">
        <f t="shared" si="7"/>
        <v>4</v>
      </c>
      <c r="G25" s="9"/>
      <c r="H25" s="6">
        <v>7</v>
      </c>
      <c r="I25" s="7"/>
      <c r="J25" s="6"/>
      <c r="K25" s="6"/>
      <c r="L25" s="6">
        <v>1</v>
      </c>
      <c r="M25" s="6">
        <v>4</v>
      </c>
      <c r="N25" s="6">
        <v>1</v>
      </c>
      <c r="O25" s="6"/>
      <c r="P25" s="7">
        <f>(M25/(N25-O25))</f>
        <v>4</v>
      </c>
      <c r="Q25" s="6"/>
      <c r="R25" s="6">
        <v>7</v>
      </c>
      <c r="S25" s="7"/>
      <c r="T25" s="6"/>
      <c r="Y25" s="11"/>
      <c r="AB25" s="7"/>
      <c r="AD25" s="6"/>
      <c r="AE25" s="8" t="s">
        <v>23</v>
      </c>
    </row>
    <row r="26" spans="1:31" x14ac:dyDescent="0.25">
      <c r="A26" s="6" t="s">
        <v>959</v>
      </c>
      <c r="B26" s="6">
        <v>158.5</v>
      </c>
      <c r="C26" s="6">
        <v>1203</v>
      </c>
      <c r="D26" s="6">
        <v>116</v>
      </c>
      <c r="E26" s="6">
        <v>36</v>
      </c>
      <c r="F26" s="7">
        <f t="shared" si="7"/>
        <v>15.0375</v>
      </c>
      <c r="G26" s="6">
        <v>141</v>
      </c>
      <c r="H26" s="6">
        <v>2845</v>
      </c>
      <c r="I26" s="7">
        <f t="shared" si="4"/>
        <v>20.177304964539008</v>
      </c>
      <c r="J26" s="6"/>
      <c r="K26" s="6"/>
      <c r="L26" s="6"/>
      <c r="M26" s="6"/>
      <c r="N26" s="6"/>
      <c r="O26" s="6"/>
      <c r="P26" s="7"/>
      <c r="Q26" s="6"/>
      <c r="R26" s="6"/>
      <c r="S26" s="7"/>
      <c r="T26" s="6"/>
      <c r="U26" s="13">
        <v>20</v>
      </c>
      <c r="V26" s="13">
        <v>27</v>
      </c>
      <c r="W26" s="13">
        <v>7</v>
      </c>
      <c r="X26" s="13">
        <v>5</v>
      </c>
      <c r="Y26" s="11"/>
      <c r="Z26" s="8">
        <v>11</v>
      </c>
      <c r="AA26" s="13">
        <v>305</v>
      </c>
      <c r="AB26" s="7">
        <f t="shared" si="9"/>
        <v>27.727272727272727</v>
      </c>
      <c r="AD26" s="6"/>
      <c r="AE26" s="8" t="s">
        <v>1122</v>
      </c>
    </row>
    <row r="27" spans="1:31" x14ac:dyDescent="0.25">
      <c r="A27" s="6" t="s">
        <v>24</v>
      </c>
      <c r="B27" s="6">
        <v>3</v>
      </c>
      <c r="C27" s="6">
        <v>26</v>
      </c>
      <c r="D27" s="6">
        <v>3</v>
      </c>
      <c r="E27" s="6"/>
      <c r="F27" s="7">
        <f t="shared" si="7"/>
        <v>8.6666666666666661</v>
      </c>
      <c r="G27" s="6">
        <v>8</v>
      </c>
      <c r="H27" s="6">
        <v>171</v>
      </c>
      <c r="I27" s="7">
        <f t="shared" si="4"/>
        <v>21.375</v>
      </c>
      <c r="J27" s="6"/>
      <c r="K27" s="6"/>
      <c r="L27" s="6"/>
      <c r="M27" s="6"/>
      <c r="N27" s="6"/>
      <c r="O27" s="6"/>
      <c r="P27" s="7"/>
      <c r="Q27" s="6"/>
      <c r="R27" s="6"/>
      <c r="S27" s="7"/>
      <c r="T27" s="6"/>
      <c r="Y27" s="11"/>
      <c r="AA27" s="6"/>
      <c r="AB27" s="7"/>
    </row>
    <row r="28" spans="1:31" x14ac:dyDescent="0.25">
      <c r="A28" s="6" t="s">
        <v>25</v>
      </c>
      <c r="B28" s="6">
        <v>7</v>
      </c>
      <c r="C28" s="6">
        <v>139</v>
      </c>
      <c r="D28" s="6">
        <v>9</v>
      </c>
      <c r="E28" s="6">
        <v>1</v>
      </c>
      <c r="F28" s="7">
        <f t="shared" si="7"/>
        <v>17.375</v>
      </c>
      <c r="G28" s="6"/>
      <c r="H28" s="6"/>
      <c r="I28" s="7"/>
      <c r="J28" s="6"/>
      <c r="K28" s="6"/>
      <c r="L28" s="6"/>
      <c r="M28" s="6"/>
      <c r="N28" s="6"/>
      <c r="O28" s="6"/>
      <c r="P28" s="7"/>
      <c r="Q28" s="6"/>
      <c r="R28" s="6"/>
      <c r="S28" s="7"/>
      <c r="T28" s="6"/>
      <c r="Y28" s="11"/>
      <c r="AA28" s="6"/>
      <c r="AB28" s="7"/>
    </row>
    <row r="29" spans="1:31" x14ac:dyDescent="0.25">
      <c r="A29" s="6" t="s">
        <v>26</v>
      </c>
      <c r="B29" s="6">
        <v>26</v>
      </c>
      <c r="C29" s="6">
        <v>295</v>
      </c>
      <c r="D29" s="6">
        <v>24</v>
      </c>
      <c r="E29" s="6">
        <v>9</v>
      </c>
      <c r="F29" s="7">
        <f t="shared" si="7"/>
        <v>19.666666666666668</v>
      </c>
      <c r="G29" s="6">
        <v>22</v>
      </c>
      <c r="H29" s="6">
        <v>399</v>
      </c>
      <c r="I29" s="7">
        <f t="shared" si="4"/>
        <v>18.136363636363637</v>
      </c>
      <c r="J29" s="6"/>
      <c r="K29" s="6"/>
      <c r="L29" s="6"/>
      <c r="M29" s="6"/>
      <c r="N29" s="6"/>
      <c r="O29" s="6"/>
      <c r="P29" s="7"/>
      <c r="Q29" s="6"/>
      <c r="R29" s="6"/>
      <c r="S29" s="7"/>
      <c r="T29" s="6"/>
      <c r="Y29" s="11"/>
      <c r="AA29" s="6"/>
      <c r="AB29" s="7"/>
    </row>
    <row r="30" spans="1:31" x14ac:dyDescent="0.25">
      <c r="A30" s="6" t="s">
        <v>654</v>
      </c>
      <c r="B30" s="6">
        <v>7</v>
      </c>
      <c r="C30" s="6">
        <v>20</v>
      </c>
      <c r="D30" s="6">
        <v>6</v>
      </c>
      <c r="E30" s="6">
        <v>2</v>
      </c>
      <c r="F30" s="7">
        <f t="shared" si="7"/>
        <v>5</v>
      </c>
      <c r="G30" s="6">
        <v>6</v>
      </c>
      <c r="H30" s="6">
        <v>165</v>
      </c>
      <c r="I30" s="7">
        <f t="shared" si="4"/>
        <v>27.5</v>
      </c>
      <c r="J30" s="6"/>
      <c r="K30" s="6"/>
      <c r="L30" s="6"/>
      <c r="M30" s="6"/>
      <c r="N30" s="6"/>
      <c r="O30" s="6"/>
      <c r="P30" s="7"/>
      <c r="Q30" s="6"/>
      <c r="R30" s="6"/>
      <c r="S30" s="7"/>
      <c r="T30" s="6"/>
      <c r="Y30" s="11"/>
      <c r="AA30" s="6"/>
      <c r="AB30" s="7"/>
    </row>
    <row r="31" spans="1:31" x14ac:dyDescent="0.25">
      <c r="A31" s="6" t="s">
        <v>960</v>
      </c>
      <c r="B31" s="6">
        <v>14</v>
      </c>
      <c r="C31" s="6">
        <v>192</v>
      </c>
      <c r="D31" s="6">
        <v>14</v>
      </c>
      <c r="E31" s="6">
        <v>2</v>
      </c>
      <c r="F31" s="7">
        <f t="shared" si="7"/>
        <v>16</v>
      </c>
      <c r="G31" s="6">
        <v>1</v>
      </c>
      <c r="H31" s="6">
        <v>44</v>
      </c>
      <c r="I31" s="7">
        <f t="shared" si="4"/>
        <v>44</v>
      </c>
      <c r="J31" s="6"/>
      <c r="K31" s="6"/>
      <c r="L31" s="6"/>
      <c r="M31" s="6"/>
      <c r="N31" s="6"/>
      <c r="O31" s="6"/>
      <c r="P31" s="7"/>
      <c r="Q31" s="6"/>
      <c r="R31" s="6"/>
      <c r="S31" s="7"/>
      <c r="T31" s="6"/>
      <c r="U31" s="8">
        <v>2</v>
      </c>
      <c r="V31" s="8">
        <v>35</v>
      </c>
      <c r="W31" s="8">
        <v>2</v>
      </c>
      <c r="Y31" s="11"/>
      <c r="AA31" s="6">
        <v>18</v>
      </c>
      <c r="AB31" s="7"/>
      <c r="AE31" s="1" t="s">
        <v>961</v>
      </c>
    </row>
    <row r="32" spans="1:31" x14ac:dyDescent="0.25">
      <c r="A32" s="6" t="s">
        <v>655</v>
      </c>
      <c r="B32" s="6">
        <v>31</v>
      </c>
      <c r="C32" s="6">
        <v>118</v>
      </c>
      <c r="D32" s="6">
        <v>29</v>
      </c>
      <c r="E32" s="6">
        <v>5</v>
      </c>
      <c r="F32" s="7">
        <f t="shared" si="7"/>
        <v>4.916666666666667</v>
      </c>
      <c r="G32" s="6">
        <v>17</v>
      </c>
      <c r="H32" s="6">
        <v>566</v>
      </c>
      <c r="I32" s="7">
        <f t="shared" si="4"/>
        <v>33.294117647058826</v>
      </c>
      <c r="J32" s="6"/>
      <c r="K32" s="6"/>
      <c r="L32" s="6">
        <v>4</v>
      </c>
      <c r="M32" s="6">
        <v>3</v>
      </c>
      <c r="N32" s="6">
        <v>3</v>
      </c>
      <c r="O32" s="6">
        <v>2</v>
      </c>
      <c r="P32" s="7">
        <f t="shared" ref="P32:P117" si="10">(M32/(N32-O32))</f>
        <v>3</v>
      </c>
      <c r="Q32" s="6"/>
      <c r="R32" s="6">
        <v>25</v>
      </c>
      <c r="S32" s="7"/>
      <c r="T32" s="6"/>
      <c r="Y32" s="11"/>
      <c r="AB32" s="7"/>
      <c r="AD32" s="6">
        <v>31</v>
      </c>
      <c r="AE32" s="8" t="s">
        <v>740</v>
      </c>
    </row>
    <row r="33" spans="1:31" x14ac:dyDescent="0.25">
      <c r="A33" s="6" t="s">
        <v>27</v>
      </c>
      <c r="B33" s="6">
        <v>40</v>
      </c>
      <c r="C33" s="6">
        <v>461</v>
      </c>
      <c r="D33" s="6">
        <v>37</v>
      </c>
      <c r="E33" s="6">
        <v>12</v>
      </c>
      <c r="F33" s="7">
        <f t="shared" si="7"/>
        <v>18.440000000000001</v>
      </c>
      <c r="G33" s="6">
        <v>91</v>
      </c>
      <c r="H33" s="6">
        <v>1086</v>
      </c>
      <c r="I33" s="7">
        <f t="shared" si="4"/>
        <v>11.934065934065934</v>
      </c>
      <c r="J33" s="6"/>
      <c r="K33" s="6"/>
      <c r="L33" s="6"/>
      <c r="M33" s="6"/>
      <c r="N33" s="6"/>
      <c r="O33" s="6"/>
      <c r="P33" s="7"/>
      <c r="Q33" s="6"/>
      <c r="R33" s="6"/>
      <c r="S33" s="7"/>
      <c r="T33" s="6"/>
      <c r="Y33" s="11"/>
      <c r="AA33" s="6"/>
      <c r="AB33" s="7"/>
    </row>
    <row r="34" spans="1:31" x14ac:dyDescent="0.25">
      <c r="A34" s="6" t="s">
        <v>28</v>
      </c>
      <c r="B34" s="11">
        <v>226.5</v>
      </c>
      <c r="C34" s="6">
        <v>816</v>
      </c>
      <c r="D34" s="6">
        <v>152</v>
      </c>
      <c r="E34" s="6">
        <v>35</v>
      </c>
      <c r="F34" s="7">
        <f t="shared" si="7"/>
        <v>6.9743589743589745</v>
      </c>
      <c r="G34" s="6">
        <v>255</v>
      </c>
      <c r="H34" s="6">
        <v>6238</v>
      </c>
      <c r="I34" s="7">
        <f t="shared" si="4"/>
        <v>24.462745098039214</v>
      </c>
      <c r="J34" s="6"/>
      <c r="K34" s="6"/>
      <c r="L34" s="6">
        <v>4</v>
      </c>
      <c r="M34" s="6">
        <v>11</v>
      </c>
      <c r="N34" s="6">
        <v>1</v>
      </c>
      <c r="O34" s="6"/>
      <c r="P34" s="7">
        <f t="shared" si="10"/>
        <v>11</v>
      </c>
      <c r="Q34" s="6">
        <v>6</v>
      </c>
      <c r="R34" s="6">
        <v>149</v>
      </c>
      <c r="S34" s="7">
        <f t="shared" ref="S34:S117" si="11">(R34/Q34)</f>
        <v>24.833333333333332</v>
      </c>
      <c r="T34" s="6"/>
      <c r="U34" s="6">
        <v>7</v>
      </c>
      <c r="V34" s="6">
        <v>1</v>
      </c>
      <c r="W34" s="6">
        <v>1</v>
      </c>
      <c r="Y34" s="11">
        <f t="shared" ref="Y34" si="12">(V34/(W34-X34))</f>
        <v>1</v>
      </c>
      <c r="Z34" s="6">
        <v>8</v>
      </c>
      <c r="AA34" s="6">
        <v>107</v>
      </c>
      <c r="AB34" s="7">
        <f t="shared" ref="AB34:AB79" si="13">AA34/Z34</f>
        <v>13.375</v>
      </c>
      <c r="AD34" s="6"/>
      <c r="AE34" s="8" t="s">
        <v>987</v>
      </c>
    </row>
    <row r="35" spans="1:31" x14ac:dyDescent="0.25">
      <c r="A35" s="6" t="s">
        <v>29</v>
      </c>
      <c r="B35" s="6">
        <v>41</v>
      </c>
      <c r="C35" s="6">
        <v>199</v>
      </c>
      <c r="D35" s="6">
        <v>26</v>
      </c>
      <c r="E35" s="6">
        <v>2</v>
      </c>
      <c r="F35" s="7">
        <f t="shared" si="7"/>
        <v>8.2916666666666661</v>
      </c>
      <c r="G35" s="6">
        <v>86</v>
      </c>
      <c r="H35" s="6">
        <v>1172</v>
      </c>
      <c r="I35" s="7">
        <f t="shared" si="4"/>
        <v>13.627906976744185</v>
      </c>
      <c r="J35" s="6"/>
      <c r="K35" s="6"/>
      <c r="L35" s="6"/>
      <c r="M35" s="6"/>
      <c r="N35" s="6"/>
      <c r="O35" s="6"/>
      <c r="P35" s="7"/>
      <c r="Q35" s="6"/>
      <c r="R35" s="6"/>
      <c r="S35" s="7"/>
      <c r="T35" s="6"/>
      <c r="Y35" s="11"/>
      <c r="AA35" s="6"/>
      <c r="AB35" s="11"/>
    </row>
    <row r="36" spans="1:31" x14ac:dyDescent="0.25">
      <c r="A36" s="6" t="s">
        <v>741</v>
      </c>
      <c r="B36" s="6">
        <v>40</v>
      </c>
      <c r="C36" s="6">
        <v>221</v>
      </c>
      <c r="D36" s="6">
        <v>29</v>
      </c>
      <c r="E36" s="6">
        <v>8</v>
      </c>
      <c r="F36" s="7">
        <f t="shared" si="7"/>
        <v>10.523809523809524</v>
      </c>
      <c r="G36" s="6">
        <v>56</v>
      </c>
      <c r="H36" s="6">
        <v>1236</v>
      </c>
      <c r="I36" s="7">
        <f t="shared" si="4"/>
        <v>22.071428571428573</v>
      </c>
      <c r="J36" s="6"/>
      <c r="K36" s="6"/>
      <c r="L36" s="6"/>
      <c r="M36" s="6"/>
      <c r="N36" s="6"/>
      <c r="O36" s="6"/>
      <c r="P36" s="7"/>
      <c r="Q36" s="6"/>
      <c r="R36" s="6"/>
      <c r="S36" s="7"/>
      <c r="T36" s="6"/>
      <c r="U36" s="6">
        <v>2</v>
      </c>
      <c r="V36" s="6">
        <v>12</v>
      </c>
      <c r="W36" s="6">
        <v>1</v>
      </c>
      <c r="X36" s="6">
        <v>1</v>
      </c>
      <c r="Y36" s="11"/>
      <c r="Z36" s="6">
        <v>4</v>
      </c>
      <c r="AA36" s="6">
        <v>76</v>
      </c>
      <c r="AB36" s="7">
        <f t="shared" si="13"/>
        <v>19</v>
      </c>
      <c r="AD36" s="6">
        <v>40</v>
      </c>
      <c r="AE36" s="6" t="s">
        <v>929</v>
      </c>
    </row>
    <row r="37" spans="1:31" x14ac:dyDescent="0.25">
      <c r="A37" s="6" t="s">
        <v>30</v>
      </c>
      <c r="B37" s="6">
        <v>36</v>
      </c>
      <c r="C37" s="6">
        <v>73</v>
      </c>
      <c r="D37" s="6">
        <v>23</v>
      </c>
      <c r="E37" s="6">
        <v>7</v>
      </c>
      <c r="F37" s="7">
        <f t="shared" si="7"/>
        <v>4.5625</v>
      </c>
      <c r="G37" s="6">
        <v>23</v>
      </c>
      <c r="H37" s="6">
        <v>385</v>
      </c>
      <c r="I37" s="7">
        <f t="shared" si="4"/>
        <v>16.739130434782609</v>
      </c>
      <c r="J37" s="6"/>
      <c r="K37" s="6"/>
      <c r="L37" s="6"/>
      <c r="M37" s="6"/>
      <c r="N37" s="6"/>
      <c r="O37" s="6"/>
      <c r="P37" s="7"/>
      <c r="Q37" s="6"/>
      <c r="R37" s="6"/>
      <c r="S37" s="7"/>
      <c r="T37" s="6"/>
      <c r="Y37" s="11"/>
      <c r="AA37" s="6"/>
      <c r="AB37" s="11"/>
    </row>
    <row r="38" spans="1:31" x14ac:dyDescent="0.25">
      <c r="A38" s="6" t="s">
        <v>31</v>
      </c>
      <c r="B38" s="6">
        <v>68</v>
      </c>
      <c r="C38" s="6">
        <v>1030</v>
      </c>
      <c r="D38" s="6">
        <v>74</v>
      </c>
      <c r="E38" s="6">
        <v>8</v>
      </c>
      <c r="F38" s="7">
        <f t="shared" si="7"/>
        <v>15.606060606060606</v>
      </c>
      <c r="G38" s="6">
        <v>8</v>
      </c>
      <c r="H38" s="6">
        <v>142</v>
      </c>
      <c r="I38" s="7">
        <f t="shared" si="4"/>
        <v>17.75</v>
      </c>
      <c r="J38" s="6"/>
      <c r="K38" s="6"/>
      <c r="L38" s="6"/>
      <c r="M38" s="6"/>
      <c r="N38" s="6"/>
      <c r="O38" s="6"/>
      <c r="P38" s="7"/>
      <c r="Q38" s="6"/>
      <c r="R38" s="6"/>
      <c r="S38" s="7"/>
      <c r="T38" s="6"/>
      <c r="Y38" s="11"/>
      <c r="AA38" s="6"/>
      <c r="AB38" s="11"/>
    </row>
    <row r="39" spans="1:31" x14ac:dyDescent="0.25">
      <c r="A39" s="6" t="s">
        <v>32</v>
      </c>
      <c r="B39" s="6">
        <v>2</v>
      </c>
      <c r="C39" s="6">
        <v>39</v>
      </c>
      <c r="D39" s="6">
        <v>3</v>
      </c>
      <c r="E39" s="6"/>
      <c r="F39" s="7">
        <f t="shared" si="7"/>
        <v>13</v>
      </c>
      <c r="G39" s="6"/>
      <c r="H39" s="6">
        <v>8</v>
      </c>
      <c r="I39" s="7"/>
      <c r="J39" s="6"/>
      <c r="K39" s="6"/>
      <c r="L39" s="6"/>
      <c r="M39" s="6"/>
      <c r="N39" s="6"/>
      <c r="O39" s="6"/>
      <c r="P39" s="7"/>
      <c r="Q39" s="6"/>
      <c r="R39" s="6"/>
      <c r="S39" s="7"/>
      <c r="T39" s="6"/>
      <c r="Y39" s="11"/>
      <c r="AA39" s="6"/>
      <c r="AB39" s="11"/>
    </row>
    <row r="40" spans="1:31" x14ac:dyDescent="0.25">
      <c r="A40" s="6" t="s">
        <v>1082</v>
      </c>
      <c r="B40" s="6">
        <v>2.5</v>
      </c>
      <c r="C40" s="6">
        <v>3</v>
      </c>
      <c r="D40" s="6">
        <v>2</v>
      </c>
      <c r="E40" s="6"/>
      <c r="F40" s="7">
        <f t="shared" si="7"/>
        <v>1.5</v>
      </c>
      <c r="G40" s="6"/>
      <c r="H40" s="6"/>
      <c r="I40" s="7"/>
      <c r="J40" s="6"/>
      <c r="K40" s="6"/>
      <c r="L40" s="6"/>
      <c r="M40" s="6"/>
      <c r="N40" s="6"/>
      <c r="O40" s="6"/>
      <c r="P40" s="7"/>
      <c r="Q40" s="6"/>
      <c r="R40" s="6"/>
      <c r="S40" s="7"/>
      <c r="T40" s="6"/>
      <c r="U40" s="13">
        <v>1</v>
      </c>
      <c r="W40" s="13">
        <v>1</v>
      </c>
      <c r="Y40" s="11"/>
      <c r="AA40" s="6"/>
      <c r="AB40" s="11"/>
      <c r="AE40" s="13" t="s">
        <v>1067</v>
      </c>
    </row>
    <row r="41" spans="1:31" x14ac:dyDescent="0.25">
      <c r="A41" s="6" t="s">
        <v>33</v>
      </c>
      <c r="B41" s="6">
        <v>4</v>
      </c>
      <c r="C41" s="6">
        <v>71</v>
      </c>
      <c r="D41" s="6">
        <v>5</v>
      </c>
      <c r="E41" s="6"/>
      <c r="F41" s="7">
        <f t="shared" si="7"/>
        <v>14.2</v>
      </c>
      <c r="G41" s="6">
        <v>7</v>
      </c>
      <c r="H41" s="6">
        <v>274</v>
      </c>
      <c r="I41" s="7">
        <f t="shared" si="4"/>
        <v>39.142857142857146</v>
      </c>
      <c r="J41" s="6"/>
      <c r="K41" s="6"/>
      <c r="L41" s="6"/>
      <c r="M41" s="6"/>
      <c r="N41" s="6"/>
      <c r="O41" s="6"/>
      <c r="P41" s="7"/>
      <c r="Q41" s="6"/>
      <c r="R41" s="6"/>
      <c r="S41" s="7"/>
      <c r="T41" s="6"/>
      <c r="Y41" s="11"/>
      <c r="AA41" s="6"/>
      <c r="AB41" s="11"/>
    </row>
    <row r="42" spans="1:31" x14ac:dyDescent="0.25">
      <c r="A42" s="6" t="s">
        <v>34</v>
      </c>
      <c r="B42" s="6">
        <v>3</v>
      </c>
      <c r="C42" s="6">
        <v>50</v>
      </c>
      <c r="D42" s="6">
        <v>3</v>
      </c>
      <c r="E42" s="6"/>
      <c r="F42" s="7">
        <f t="shared" si="7"/>
        <v>16.666666666666668</v>
      </c>
      <c r="G42" s="6">
        <v>5</v>
      </c>
      <c r="H42" s="6">
        <v>91</v>
      </c>
      <c r="I42" s="7">
        <f t="shared" si="4"/>
        <v>18.2</v>
      </c>
      <c r="J42" s="6"/>
      <c r="K42" s="6"/>
      <c r="L42" s="6"/>
      <c r="M42" s="6"/>
      <c r="N42" s="6"/>
      <c r="O42" s="6"/>
      <c r="P42" s="7"/>
      <c r="Q42" s="6"/>
      <c r="R42" s="6"/>
      <c r="S42" s="7"/>
      <c r="T42" s="6"/>
      <c r="Y42" s="11"/>
      <c r="AA42" s="6"/>
      <c r="AB42" s="11"/>
    </row>
    <row r="43" spans="1:31" x14ac:dyDescent="0.25">
      <c r="A43" s="6" t="s">
        <v>35</v>
      </c>
      <c r="B43" s="6">
        <v>77</v>
      </c>
      <c r="C43" s="6">
        <v>475</v>
      </c>
      <c r="D43" s="6">
        <v>60</v>
      </c>
      <c r="E43" s="6">
        <v>17</v>
      </c>
      <c r="F43" s="7">
        <f t="shared" si="7"/>
        <v>11.046511627906977</v>
      </c>
      <c r="G43" s="6">
        <v>93</v>
      </c>
      <c r="H43" s="6">
        <v>2394</v>
      </c>
      <c r="I43" s="7">
        <f t="shared" si="4"/>
        <v>25.741935483870968</v>
      </c>
      <c r="J43" s="6"/>
      <c r="K43" s="6"/>
      <c r="L43" s="6">
        <v>11</v>
      </c>
      <c r="M43" s="6">
        <v>98</v>
      </c>
      <c r="N43" s="6">
        <v>8</v>
      </c>
      <c r="O43" s="6">
        <v>3</v>
      </c>
      <c r="P43" s="7">
        <f t="shared" si="10"/>
        <v>19.600000000000001</v>
      </c>
      <c r="Q43" s="6">
        <v>4</v>
      </c>
      <c r="R43" s="6">
        <v>181</v>
      </c>
      <c r="S43" s="7">
        <f t="shared" si="11"/>
        <v>45.25</v>
      </c>
      <c r="T43" s="6"/>
      <c r="Y43" s="11"/>
      <c r="AB43" s="11"/>
      <c r="AD43" s="6">
        <v>77</v>
      </c>
      <c r="AE43" s="8" t="s">
        <v>806</v>
      </c>
    </row>
    <row r="44" spans="1:31" x14ac:dyDescent="0.25">
      <c r="A44" s="6" t="s">
        <v>36</v>
      </c>
      <c r="B44" s="6">
        <v>22</v>
      </c>
      <c r="C44" s="6">
        <v>122</v>
      </c>
      <c r="D44" s="6">
        <v>17</v>
      </c>
      <c r="E44" s="6"/>
      <c r="F44" s="7">
        <f t="shared" si="7"/>
        <v>7.1764705882352944</v>
      </c>
      <c r="G44" s="6">
        <v>1</v>
      </c>
      <c r="H44" s="6">
        <v>57</v>
      </c>
      <c r="I44" s="7">
        <f t="shared" si="4"/>
        <v>57</v>
      </c>
      <c r="J44" s="6"/>
      <c r="K44" s="6"/>
      <c r="L44" s="6"/>
      <c r="M44" s="6"/>
      <c r="N44" s="6"/>
      <c r="O44" s="6"/>
      <c r="P44" s="7"/>
      <c r="Q44" s="6"/>
      <c r="R44" s="6"/>
      <c r="S44" s="7"/>
      <c r="T44" s="6"/>
      <c r="Y44" s="11"/>
      <c r="AA44" s="6"/>
      <c r="AB44" s="11"/>
    </row>
    <row r="45" spans="1:31" x14ac:dyDescent="0.25">
      <c r="A45" s="6" t="s">
        <v>37</v>
      </c>
      <c r="B45" s="6">
        <v>69</v>
      </c>
      <c r="C45" s="6">
        <v>1846</v>
      </c>
      <c r="D45" s="6">
        <v>68</v>
      </c>
      <c r="E45" s="6">
        <v>9</v>
      </c>
      <c r="F45" s="7">
        <f t="shared" si="7"/>
        <v>31.288135593220339</v>
      </c>
      <c r="G45" s="6">
        <v>94</v>
      </c>
      <c r="H45" s="6">
        <v>1686</v>
      </c>
      <c r="I45" s="7">
        <f t="shared" si="4"/>
        <v>17.936170212765958</v>
      </c>
      <c r="J45" s="6"/>
      <c r="K45" s="6"/>
      <c r="L45" s="6"/>
      <c r="M45" s="6"/>
      <c r="N45" s="6"/>
      <c r="O45" s="6"/>
      <c r="P45" s="7"/>
      <c r="Q45" s="6"/>
      <c r="R45" s="6"/>
      <c r="S45" s="7"/>
      <c r="T45" s="6"/>
      <c r="Y45" s="11"/>
      <c r="AA45" s="6"/>
      <c r="AB45" s="11"/>
    </row>
    <row r="46" spans="1:31" x14ac:dyDescent="0.25">
      <c r="A46" s="6" t="s">
        <v>38</v>
      </c>
      <c r="B46" s="6">
        <v>106</v>
      </c>
      <c r="C46" s="6">
        <v>1375</v>
      </c>
      <c r="D46" s="6">
        <v>98</v>
      </c>
      <c r="E46" s="6">
        <v>24</v>
      </c>
      <c r="F46" s="7">
        <f t="shared" si="7"/>
        <v>18.581081081081081</v>
      </c>
      <c r="G46" s="6">
        <v>174</v>
      </c>
      <c r="H46" s="6">
        <v>2572</v>
      </c>
      <c r="I46" s="7">
        <f t="shared" si="4"/>
        <v>14.781609195402298</v>
      </c>
      <c r="J46" s="6"/>
      <c r="K46" s="6"/>
      <c r="L46" s="6"/>
      <c r="M46" s="6"/>
      <c r="N46" s="6"/>
      <c r="O46" s="6"/>
      <c r="P46" s="7"/>
      <c r="Q46" s="6"/>
      <c r="R46" s="6"/>
      <c r="S46" s="7"/>
      <c r="T46" s="6"/>
      <c r="Y46" s="11"/>
      <c r="AA46" s="6"/>
      <c r="AB46" s="11"/>
    </row>
    <row r="47" spans="1:31" x14ac:dyDescent="0.25">
      <c r="A47" s="6" t="s">
        <v>39</v>
      </c>
      <c r="B47" s="6">
        <v>30</v>
      </c>
      <c r="C47" s="6">
        <v>197</v>
      </c>
      <c r="D47" s="6">
        <v>34</v>
      </c>
      <c r="E47" s="6">
        <v>9</v>
      </c>
      <c r="F47" s="7">
        <f t="shared" si="7"/>
        <v>7.88</v>
      </c>
      <c r="G47" s="6">
        <v>2</v>
      </c>
      <c r="H47" s="6">
        <v>58</v>
      </c>
      <c r="I47" s="7">
        <f t="shared" si="4"/>
        <v>29</v>
      </c>
      <c r="J47" s="6"/>
      <c r="K47" s="6"/>
      <c r="L47" s="6"/>
      <c r="M47" s="6"/>
      <c r="N47" s="6"/>
      <c r="O47" s="6"/>
      <c r="P47" s="7"/>
      <c r="Q47" s="6"/>
      <c r="R47" s="6"/>
      <c r="S47" s="7"/>
      <c r="T47" s="6"/>
      <c r="Y47" s="11"/>
      <c r="AA47" s="6"/>
      <c r="AB47" s="11"/>
    </row>
    <row r="48" spans="1:31" x14ac:dyDescent="0.25">
      <c r="A48" s="6" t="s">
        <v>40</v>
      </c>
      <c r="B48" s="6">
        <v>2</v>
      </c>
      <c r="C48" s="6"/>
      <c r="D48" s="6">
        <v>1</v>
      </c>
      <c r="E48" s="6"/>
      <c r="F48" s="7"/>
      <c r="G48" s="6"/>
      <c r="H48" s="6">
        <v>31</v>
      </c>
      <c r="I48" s="7"/>
      <c r="J48" s="6"/>
      <c r="K48" s="6"/>
      <c r="L48" s="6">
        <v>2</v>
      </c>
      <c r="M48" s="6"/>
      <c r="N48" s="6">
        <v>1</v>
      </c>
      <c r="O48" s="6"/>
      <c r="P48" s="7"/>
      <c r="Q48" s="6"/>
      <c r="R48" s="6">
        <v>31</v>
      </c>
      <c r="S48" s="7"/>
      <c r="T48" s="6"/>
      <c r="Y48" s="11"/>
      <c r="AA48" s="6"/>
      <c r="AB48" s="11"/>
      <c r="AE48" t="s">
        <v>41</v>
      </c>
    </row>
    <row r="49" spans="1:31" x14ac:dyDescent="0.25">
      <c r="A49" s="6" t="s">
        <v>877</v>
      </c>
      <c r="B49" s="6">
        <v>1</v>
      </c>
      <c r="C49" s="6">
        <v>3</v>
      </c>
      <c r="D49" s="6">
        <v>1</v>
      </c>
      <c r="E49" s="6">
        <v>1</v>
      </c>
      <c r="F49" s="7"/>
      <c r="G49" s="6">
        <v>1</v>
      </c>
      <c r="H49" s="6">
        <v>10</v>
      </c>
      <c r="I49" s="7">
        <f t="shared" si="4"/>
        <v>10</v>
      </c>
      <c r="J49" s="6"/>
      <c r="K49" s="6"/>
      <c r="L49" s="6"/>
      <c r="M49" s="6"/>
      <c r="N49" s="6"/>
      <c r="O49" s="6"/>
      <c r="P49" s="7"/>
      <c r="Q49" s="6"/>
      <c r="R49" s="6"/>
      <c r="S49" s="7"/>
      <c r="T49" s="6"/>
      <c r="Y49" s="11"/>
      <c r="AA49" s="6"/>
      <c r="AB49" s="11"/>
      <c r="AE49"/>
    </row>
    <row r="50" spans="1:31" x14ac:dyDescent="0.25">
      <c r="A50" s="6" t="s">
        <v>633</v>
      </c>
      <c r="B50" s="6">
        <v>22</v>
      </c>
      <c r="C50" s="6">
        <v>271</v>
      </c>
      <c r="D50" s="6">
        <v>20</v>
      </c>
      <c r="E50" s="6">
        <v>2</v>
      </c>
      <c r="F50" s="7">
        <f t="shared" si="7"/>
        <v>15.055555555555555</v>
      </c>
      <c r="G50" s="6">
        <v>1</v>
      </c>
      <c r="H50" s="6">
        <v>79</v>
      </c>
      <c r="I50" s="7">
        <f t="shared" si="4"/>
        <v>79</v>
      </c>
      <c r="J50" s="6"/>
      <c r="K50" s="6"/>
      <c r="L50" s="6">
        <v>1</v>
      </c>
      <c r="M50" s="6">
        <v>3</v>
      </c>
      <c r="N50" s="6">
        <v>1</v>
      </c>
      <c r="O50" s="6"/>
      <c r="P50" s="7">
        <f t="shared" si="10"/>
        <v>3</v>
      </c>
      <c r="Q50" s="6"/>
      <c r="R50" s="6"/>
      <c r="S50" s="7"/>
      <c r="T50" s="6"/>
      <c r="U50" s="13">
        <v>3</v>
      </c>
      <c r="Y50" s="11"/>
      <c r="AA50" s="13">
        <v>21</v>
      </c>
      <c r="AB50" s="11"/>
      <c r="AD50" s="6"/>
      <c r="AE50" s="8" t="s">
        <v>1010</v>
      </c>
    </row>
    <row r="51" spans="1:31" x14ac:dyDescent="0.25">
      <c r="A51" s="6" t="s">
        <v>807</v>
      </c>
      <c r="B51" s="6">
        <v>18.5</v>
      </c>
      <c r="C51" s="6">
        <v>418</v>
      </c>
      <c r="D51" s="6">
        <v>21</v>
      </c>
      <c r="E51" s="6">
        <v>5</v>
      </c>
      <c r="F51" s="7">
        <f t="shared" si="7"/>
        <v>26.125</v>
      </c>
      <c r="G51" s="6">
        <v>9</v>
      </c>
      <c r="H51" s="6">
        <v>425</v>
      </c>
      <c r="I51" s="7">
        <f t="shared" si="4"/>
        <v>47.222222222222221</v>
      </c>
      <c r="J51" s="6"/>
      <c r="K51" s="6"/>
      <c r="L51" s="6">
        <v>7</v>
      </c>
      <c r="M51" s="6">
        <v>145</v>
      </c>
      <c r="N51" s="6">
        <v>7</v>
      </c>
      <c r="O51" s="6">
        <v>1</v>
      </c>
      <c r="P51" s="7">
        <f t="shared" si="10"/>
        <v>24.166666666666668</v>
      </c>
      <c r="Q51" s="6">
        <v>4</v>
      </c>
      <c r="R51" s="6">
        <v>148</v>
      </c>
      <c r="S51" s="7">
        <f t="shared" si="11"/>
        <v>37</v>
      </c>
      <c r="T51" s="6"/>
      <c r="Y51" s="11"/>
      <c r="AB51" s="11"/>
      <c r="AD51" s="6"/>
      <c r="AE51" s="8" t="s">
        <v>845</v>
      </c>
    </row>
    <row r="52" spans="1:31" x14ac:dyDescent="0.25">
      <c r="A52" s="6" t="s">
        <v>808</v>
      </c>
      <c r="B52" s="6">
        <v>24.5</v>
      </c>
      <c r="C52" s="6">
        <v>201</v>
      </c>
      <c r="D52" s="6">
        <v>20</v>
      </c>
      <c r="E52" s="6">
        <v>7</v>
      </c>
      <c r="F52" s="7">
        <f t="shared" si="7"/>
        <v>15.461538461538462</v>
      </c>
      <c r="G52" s="6">
        <v>26</v>
      </c>
      <c r="H52" s="6">
        <v>666</v>
      </c>
      <c r="I52" s="7">
        <f t="shared" si="4"/>
        <v>25.615384615384617</v>
      </c>
      <c r="J52" s="6"/>
      <c r="K52" s="6"/>
      <c r="L52" s="6"/>
      <c r="M52" s="6"/>
      <c r="N52" s="6"/>
      <c r="O52" s="6"/>
      <c r="P52" s="7"/>
      <c r="Q52" s="6"/>
      <c r="R52" s="6"/>
      <c r="S52" s="7"/>
      <c r="T52" s="6"/>
      <c r="U52" s="6">
        <v>5</v>
      </c>
      <c r="V52" s="6">
        <v>24</v>
      </c>
      <c r="W52" s="6">
        <v>3</v>
      </c>
      <c r="X52" s="6">
        <v>2</v>
      </c>
      <c r="Y52" s="11">
        <f t="shared" ref="Y52" si="14">(V52/(W52-X52))</f>
        <v>24</v>
      </c>
      <c r="Z52" s="6">
        <v>6</v>
      </c>
      <c r="AA52" s="6">
        <v>80</v>
      </c>
      <c r="AB52" s="7">
        <f t="shared" si="13"/>
        <v>13.333333333333334</v>
      </c>
      <c r="AC52" s="6"/>
      <c r="AD52" s="6"/>
      <c r="AE52" s="8" t="s">
        <v>873</v>
      </c>
    </row>
    <row r="53" spans="1:31" x14ac:dyDescent="0.25">
      <c r="A53" s="6" t="s">
        <v>909</v>
      </c>
      <c r="B53" s="6">
        <v>8</v>
      </c>
      <c r="C53" s="6">
        <v>3</v>
      </c>
      <c r="D53" s="6">
        <v>4</v>
      </c>
      <c r="E53" s="6">
        <v>3</v>
      </c>
      <c r="F53" s="7">
        <f t="shared" si="7"/>
        <v>3</v>
      </c>
      <c r="G53" s="6">
        <v>5</v>
      </c>
      <c r="H53" s="6">
        <v>191</v>
      </c>
      <c r="I53" s="7">
        <f t="shared" si="4"/>
        <v>38.200000000000003</v>
      </c>
      <c r="J53" s="6"/>
      <c r="K53" s="6"/>
      <c r="L53" s="6"/>
      <c r="M53" s="6"/>
      <c r="N53" s="6"/>
      <c r="O53" s="6"/>
      <c r="P53" s="7"/>
      <c r="Q53" s="6"/>
      <c r="R53" s="6"/>
      <c r="S53" s="7"/>
      <c r="T53" s="6"/>
      <c r="U53" s="6">
        <v>4</v>
      </c>
      <c r="V53" s="6"/>
      <c r="W53" s="6"/>
      <c r="X53" s="6"/>
      <c r="Y53" s="11"/>
      <c r="Z53" s="6"/>
      <c r="AA53" s="6">
        <v>47</v>
      </c>
      <c r="AB53" s="7"/>
      <c r="AC53" s="6"/>
      <c r="AD53" s="6"/>
      <c r="AE53" s="8" t="s">
        <v>930</v>
      </c>
    </row>
    <row r="54" spans="1:31" x14ac:dyDescent="0.25">
      <c r="A54" s="6" t="s">
        <v>42</v>
      </c>
      <c r="B54" s="6">
        <v>1</v>
      </c>
      <c r="C54" s="6">
        <v>1</v>
      </c>
      <c r="D54" s="6">
        <v>1</v>
      </c>
      <c r="E54" s="6"/>
      <c r="F54" s="7">
        <f t="shared" si="7"/>
        <v>1</v>
      </c>
      <c r="G54" s="6"/>
      <c r="H54" s="6">
        <v>18</v>
      </c>
      <c r="I54" s="7"/>
      <c r="J54" s="6"/>
      <c r="K54" s="6"/>
      <c r="L54" s="6"/>
      <c r="M54" s="6"/>
      <c r="N54" s="6"/>
      <c r="O54" s="6"/>
      <c r="P54" s="7"/>
      <c r="Q54" s="6"/>
      <c r="R54" s="6"/>
      <c r="S54" s="7"/>
      <c r="T54" s="6"/>
      <c r="Y54" s="12"/>
      <c r="AA54" s="6"/>
      <c r="AB54" s="7"/>
    </row>
    <row r="55" spans="1:31" x14ac:dyDescent="0.25">
      <c r="A55" s="6" t="s">
        <v>43</v>
      </c>
      <c r="B55" s="6">
        <v>18</v>
      </c>
      <c r="C55" s="6">
        <v>259</v>
      </c>
      <c r="D55" s="6">
        <v>18</v>
      </c>
      <c r="E55" s="6">
        <v>2</v>
      </c>
      <c r="F55" s="7">
        <f t="shared" si="7"/>
        <v>16.1875</v>
      </c>
      <c r="G55" s="6">
        <v>8</v>
      </c>
      <c r="H55" s="6">
        <v>217</v>
      </c>
      <c r="I55" s="7">
        <f t="shared" si="4"/>
        <v>27.125</v>
      </c>
      <c r="J55" s="6"/>
      <c r="K55" s="6"/>
      <c r="L55" s="6"/>
      <c r="M55" s="6"/>
      <c r="N55" s="6"/>
      <c r="O55" s="6"/>
      <c r="P55" s="7"/>
      <c r="Q55" s="6"/>
      <c r="R55" s="6"/>
      <c r="S55" s="7"/>
      <c r="T55" s="6"/>
      <c r="Y55" s="12"/>
      <c r="AA55" s="6"/>
      <c r="AB55" s="7"/>
    </row>
    <row r="56" spans="1:31" x14ac:dyDescent="0.25">
      <c r="A56" s="6" t="s">
        <v>44</v>
      </c>
      <c r="B56" s="6">
        <v>6</v>
      </c>
      <c r="C56" s="6">
        <v>70</v>
      </c>
      <c r="D56" s="6">
        <v>5</v>
      </c>
      <c r="E56" s="6"/>
      <c r="F56" s="7">
        <f t="shared" si="7"/>
        <v>14</v>
      </c>
      <c r="G56" s="6">
        <v>3</v>
      </c>
      <c r="H56" s="6">
        <v>84</v>
      </c>
      <c r="I56" s="7">
        <f t="shared" si="4"/>
        <v>28</v>
      </c>
      <c r="J56" s="6"/>
      <c r="K56" s="6"/>
      <c r="L56" s="6"/>
      <c r="M56" s="6"/>
      <c r="N56" s="6"/>
      <c r="O56" s="6"/>
      <c r="P56" s="7"/>
      <c r="Q56" s="6"/>
      <c r="R56" s="6"/>
      <c r="S56" s="7"/>
      <c r="T56" s="6"/>
      <c r="Y56" s="12"/>
      <c r="AA56" s="6"/>
      <c r="AB56" s="7"/>
    </row>
    <row r="57" spans="1:31" x14ac:dyDescent="0.25">
      <c r="A57" s="6" t="s">
        <v>45</v>
      </c>
      <c r="B57" s="6">
        <v>4</v>
      </c>
      <c r="C57" s="6">
        <v>5</v>
      </c>
      <c r="D57" s="6">
        <v>4</v>
      </c>
      <c r="E57" s="6"/>
      <c r="F57" s="7">
        <f t="shared" si="7"/>
        <v>1.25</v>
      </c>
      <c r="G57" s="6">
        <v>1</v>
      </c>
      <c r="H57" s="6">
        <v>13</v>
      </c>
      <c r="I57" s="7">
        <f t="shared" si="4"/>
        <v>13</v>
      </c>
      <c r="J57" s="6"/>
      <c r="K57" s="6"/>
      <c r="L57" s="6"/>
      <c r="M57" s="6"/>
      <c r="N57" s="6"/>
      <c r="O57" s="6"/>
      <c r="P57" s="7"/>
      <c r="Q57" s="6"/>
      <c r="R57" s="6"/>
      <c r="S57" s="7"/>
      <c r="T57" s="6"/>
      <c r="Y57" s="12"/>
      <c r="AA57" s="6"/>
      <c r="AB57" s="7"/>
    </row>
    <row r="58" spans="1:31" x14ac:dyDescent="0.25">
      <c r="A58" s="6" t="s">
        <v>680</v>
      </c>
      <c r="B58" s="6">
        <v>5.5</v>
      </c>
      <c r="C58" s="6">
        <v>26</v>
      </c>
      <c r="D58" s="6">
        <v>8</v>
      </c>
      <c r="E58" s="6"/>
      <c r="F58" s="7">
        <f t="shared" si="7"/>
        <v>3.25</v>
      </c>
      <c r="G58" s="6"/>
      <c r="H58" s="6"/>
      <c r="I58" s="7"/>
      <c r="J58" s="6"/>
      <c r="K58" s="6"/>
      <c r="L58" s="6">
        <v>8</v>
      </c>
      <c r="M58" s="6">
        <v>26</v>
      </c>
      <c r="N58" s="6">
        <v>8</v>
      </c>
      <c r="O58" s="6"/>
      <c r="P58" s="7">
        <f t="shared" si="10"/>
        <v>3.25</v>
      </c>
      <c r="Q58" s="6"/>
      <c r="R58" s="6"/>
      <c r="S58" s="7"/>
      <c r="T58" s="6"/>
      <c r="Y58" s="12"/>
      <c r="AB58" s="7"/>
      <c r="AD58" s="6"/>
      <c r="AE58" s="1" t="s">
        <v>634</v>
      </c>
    </row>
    <row r="59" spans="1:31" x14ac:dyDescent="0.25">
      <c r="A59" s="6" t="s">
        <v>46</v>
      </c>
      <c r="B59" s="6">
        <v>7</v>
      </c>
      <c r="C59" s="6">
        <v>9</v>
      </c>
      <c r="D59" s="6">
        <v>2</v>
      </c>
      <c r="E59" s="6"/>
      <c r="F59" s="7">
        <f t="shared" si="7"/>
        <v>4.5</v>
      </c>
      <c r="G59" s="6"/>
      <c r="H59" s="6">
        <v>6</v>
      </c>
      <c r="I59" s="7"/>
      <c r="J59" s="6"/>
      <c r="K59" s="6"/>
      <c r="L59" s="6"/>
      <c r="M59" s="6"/>
      <c r="N59" s="6"/>
      <c r="O59" s="6"/>
      <c r="P59" s="7"/>
      <c r="Q59" s="6"/>
      <c r="R59" s="6"/>
      <c r="S59" s="7"/>
      <c r="T59" s="6"/>
      <c r="Y59" s="12"/>
      <c r="AA59" s="6"/>
      <c r="AB59" s="7"/>
    </row>
    <row r="60" spans="1:31" x14ac:dyDescent="0.25">
      <c r="A60" s="6" t="s">
        <v>47</v>
      </c>
      <c r="B60" s="6">
        <v>10</v>
      </c>
      <c r="C60" s="6">
        <v>65</v>
      </c>
      <c r="D60" s="6">
        <v>9</v>
      </c>
      <c r="E60" s="6">
        <v>1</v>
      </c>
      <c r="F60" s="7">
        <f t="shared" si="7"/>
        <v>8.125</v>
      </c>
      <c r="G60" s="6">
        <v>16</v>
      </c>
      <c r="H60" s="6">
        <v>307</v>
      </c>
      <c r="I60" s="7">
        <f t="shared" si="4"/>
        <v>19.1875</v>
      </c>
      <c r="J60" s="6"/>
      <c r="K60" s="6"/>
      <c r="L60" s="6"/>
      <c r="M60" s="6"/>
      <c r="N60" s="6"/>
      <c r="O60" s="6"/>
      <c r="P60" s="7"/>
      <c r="Q60" s="6"/>
      <c r="R60" s="6"/>
      <c r="S60" s="7"/>
      <c r="T60" s="6"/>
      <c r="Y60" s="12"/>
      <c r="AA60" s="6"/>
      <c r="AB60" s="7"/>
    </row>
    <row r="61" spans="1:31" x14ac:dyDescent="0.25">
      <c r="A61" s="6" t="s">
        <v>48</v>
      </c>
      <c r="B61" s="6">
        <v>112</v>
      </c>
      <c r="C61" s="6">
        <v>1056</v>
      </c>
      <c r="D61" s="6">
        <v>102</v>
      </c>
      <c r="E61" s="6">
        <v>4</v>
      </c>
      <c r="F61" s="7">
        <f t="shared" si="7"/>
        <v>10.775510204081632</v>
      </c>
      <c r="G61" s="6">
        <v>157</v>
      </c>
      <c r="H61" s="6">
        <v>3013</v>
      </c>
      <c r="I61" s="7">
        <f t="shared" si="4"/>
        <v>19.191082802547772</v>
      </c>
      <c r="J61" s="6"/>
      <c r="K61" s="6"/>
      <c r="L61" s="6"/>
      <c r="M61" s="6"/>
      <c r="N61" s="6"/>
      <c r="O61" s="6"/>
      <c r="P61" s="7"/>
      <c r="Q61" s="6"/>
      <c r="R61" s="6"/>
      <c r="S61" s="7"/>
      <c r="T61" s="6"/>
      <c r="Y61" s="12"/>
      <c r="AA61" s="6"/>
      <c r="AB61" s="7"/>
    </row>
    <row r="62" spans="1:31" x14ac:dyDescent="0.25">
      <c r="A62" s="6" t="s">
        <v>49</v>
      </c>
      <c r="B62" s="6">
        <v>113</v>
      </c>
      <c r="C62" s="6">
        <v>2133</v>
      </c>
      <c r="D62" s="6">
        <v>116</v>
      </c>
      <c r="E62" s="6">
        <v>7</v>
      </c>
      <c r="F62" s="7">
        <f t="shared" si="7"/>
        <v>19.568807339449542</v>
      </c>
      <c r="G62" s="6">
        <v>121</v>
      </c>
      <c r="H62" s="6">
        <v>2296</v>
      </c>
      <c r="I62" s="7">
        <f t="shared" si="4"/>
        <v>18.975206611570247</v>
      </c>
      <c r="J62" s="6"/>
      <c r="K62" s="6"/>
      <c r="L62" s="6"/>
      <c r="M62" s="6"/>
      <c r="N62" s="6"/>
      <c r="O62" s="6"/>
      <c r="P62" s="7"/>
      <c r="Q62" s="6"/>
      <c r="R62" s="6"/>
      <c r="S62" s="7"/>
      <c r="T62" s="6"/>
      <c r="Y62" s="12"/>
      <c r="AA62" s="6"/>
      <c r="AB62" s="7"/>
    </row>
    <row r="63" spans="1:31" x14ac:dyDescent="0.25">
      <c r="A63" s="6" t="s">
        <v>50</v>
      </c>
      <c r="B63" s="6">
        <v>24</v>
      </c>
      <c r="C63" s="6">
        <v>585</v>
      </c>
      <c r="D63" s="6">
        <v>27</v>
      </c>
      <c r="E63" s="6">
        <v>3</v>
      </c>
      <c r="F63" s="7">
        <f t="shared" si="7"/>
        <v>24.375</v>
      </c>
      <c r="G63" s="6">
        <v>2</v>
      </c>
      <c r="H63" s="6">
        <v>39</v>
      </c>
      <c r="I63" s="7">
        <f t="shared" si="4"/>
        <v>19.5</v>
      </c>
      <c r="J63" s="6"/>
      <c r="K63" s="6"/>
      <c r="L63" s="6"/>
      <c r="M63" s="6"/>
      <c r="N63" s="6"/>
      <c r="O63" s="6"/>
      <c r="P63" s="7"/>
      <c r="Q63" s="6"/>
      <c r="R63" s="6"/>
      <c r="S63" s="7"/>
      <c r="T63" s="6"/>
      <c r="Y63" s="12"/>
      <c r="AA63" s="6"/>
      <c r="AB63" s="7"/>
    </row>
    <row r="64" spans="1:31" x14ac:dyDescent="0.25">
      <c r="A64" s="6" t="s">
        <v>1083</v>
      </c>
      <c r="B64" s="6">
        <v>1</v>
      </c>
      <c r="C64" s="6"/>
      <c r="D64" s="6"/>
      <c r="E64" s="6"/>
      <c r="F64" s="7"/>
      <c r="G64" s="6"/>
      <c r="H64" s="6"/>
      <c r="I64" s="7"/>
      <c r="J64" s="6"/>
      <c r="K64" s="6"/>
      <c r="L64" s="6"/>
      <c r="M64" s="6"/>
      <c r="N64" s="6"/>
      <c r="O64" s="6"/>
      <c r="P64" s="7"/>
      <c r="Q64" s="6"/>
      <c r="R64" s="6"/>
      <c r="S64" s="7"/>
      <c r="T64" s="6"/>
      <c r="U64" s="1">
        <v>1</v>
      </c>
      <c r="Y64" s="12"/>
      <c r="AA64" s="6"/>
      <c r="AB64" s="7"/>
      <c r="AE64" s="1" t="s">
        <v>1028</v>
      </c>
    </row>
    <row r="65" spans="1:31" x14ac:dyDescent="0.25">
      <c r="A65" s="6" t="s">
        <v>620</v>
      </c>
      <c r="B65" s="6">
        <v>52</v>
      </c>
      <c r="C65" s="6">
        <v>1112</v>
      </c>
      <c r="D65" s="6">
        <v>50</v>
      </c>
      <c r="E65" s="6">
        <v>7</v>
      </c>
      <c r="F65" s="7">
        <f t="shared" si="7"/>
        <v>25.86046511627907</v>
      </c>
      <c r="G65" s="6">
        <v>27</v>
      </c>
      <c r="H65" s="6">
        <v>315</v>
      </c>
      <c r="I65" s="7">
        <f t="shared" si="4"/>
        <v>11.666666666666666</v>
      </c>
      <c r="J65" s="6"/>
      <c r="K65" s="6"/>
      <c r="L65" s="6"/>
      <c r="M65" s="6"/>
      <c r="N65" s="6"/>
      <c r="O65" s="6"/>
      <c r="P65" s="7"/>
      <c r="Q65" s="6"/>
      <c r="R65" s="6"/>
      <c r="S65" s="7"/>
      <c r="T65" s="6"/>
      <c r="Y65" s="12"/>
      <c r="AA65" s="6"/>
      <c r="AB65" s="7"/>
    </row>
    <row r="66" spans="1:31" x14ac:dyDescent="0.25">
      <c r="A66" s="6" t="s">
        <v>51</v>
      </c>
      <c r="B66" s="6">
        <v>36.5</v>
      </c>
      <c r="C66" s="6">
        <v>181</v>
      </c>
      <c r="D66" s="6">
        <v>15</v>
      </c>
      <c r="E66" s="6">
        <v>6</v>
      </c>
      <c r="F66" s="7">
        <f t="shared" si="7"/>
        <v>20.111111111111111</v>
      </c>
      <c r="G66" s="6">
        <v>29</v>
      </c>
      <c r="H66" s="6">
        <v>618</v>
      </c>
      <c r="I66" s="7">
        <f t="shared" si="4"/>
        <v>21.310344827586206</v>
      </c>
      <c r="J66" s="6"/>
      <c r="K66" s="6"/>
      <c r="L66" s="6"/>
      <c r="M66" s="6"/>
      <c r="N66" s="6"/>
      <c r="O66" s="6"/>
      <c r="P66" s="7"/>
      <c r="Q66" s="6"/>
      <c r="R66" s="6"/>
      <c r="S66" s="7"/>
      <c r="T66" s="6"/>
      <c r="U66" s="8">
        <v>1</v>
      </c>
      <c r="V66" s="8">
        <v>4</v>
      </c>
      <c r="W66" s="8">
        <v>1</v>
      </c>
      <c r="X66" s="8">
        <v>1</v>
      </c>
      <c r="Y66" s="8"/>
      <c r="Z66" s="8"/>
      <c r="AA66" s="8"/>
      <c r="AB66" s="7"/>
      <c r="AC66" s="8"/>
      <c r="AE66" s="1" t="s">
        <v>1084</v>
      </c>
    </row>
    <row r="67" spans="1:31" x14ac:dyDescent="0.25">
      <c r="A67" s="6" t="s">
        <v>1011</v>
      </c>
      <c r="B67" s="6">
        <v>3</v>
      </c>
      <c r="C67" s="6">
        <v>136</v>
      </c>
      <c r="D67" s="6">
        <v>2</v>
      </c>
      <c r="E67" s="6">
        <v>2</v>
      </c>
      <c r="F67" s="7"/>
      <c r="G67" s="6">
        <v>2</v>
      </c>
      <c r="H67" s="6">
        <v>19</v>
      </c>
      <c r="I67" s="7">
        <f t="shared" si="4"/>
        <v>9.5</v>
      </c>
      <c r="J67" s="6"/>
      <c r="K67" s="6"/>
      <c r="L67" s="6"/>
      <c r="M67" s="6"/>
      <c r="N67" s="6"/>
      <c r="O67" s="6"/>
      <c r="P67" s="7"/>
      <c r="Q67" s="6"/>
      <c r="R67" s="6"/>
      <c r="S67" s="7"/>
      <c r="T67" s="6"/>
      <c r="U67" s="8"/>
      <c r="V67" s="8"/>
      <c r="W67" s="8"/>
      <c r="X67" s="8"/>
      <c r="Y67" s="8"/>
      <c r="Z67" s="8"/>
      <c r="AA67" s="8"/>
      <c r="AB67" s="7"/>
      <c r="AC67" s="8"/>
    </row>
    <row r="68" spans="1:31" x14ac:dyDescent="0.25">
      <c r="A68" s="6" t="s">
        <v>52</v>
      </c>
      <c r="B68" s="6">
        <v>3</v>
      </c>
      <c r="C68" s="6">
        <v>35</v>
      </c>
      <c r="D68" s="6">
        <v>3</v>
      </c>
      <c r="E68" s="6"/>
      <c r="F68" s="7">
        <f t="shared" si="7"/>
        <v>11.666666666666666</v>
      </c>
      <c r="G68" s="6"/>
      <c r="H68" s="6">
        <v>7</v>
      </c>
      <c r="I68" s="7"/>
      <c r="J68" s="6"/>
      <c r="K68" s="6"/>
      <c r="L68" s="6"/>
      <c r="M68" s="6"/>
      <c r="N68" s="6"/>
      <c r="O68" s="6"/>
      <c r="P68" s="7"/>
      <c r="Q68" s="6"/>
      <c r="R68" s="6"/>
      <c r="S68" s="7"/>
      <c r="T68" s="6"/>
      <c r="Y68" s="12"/>
      <c r="AA68" s="6"/>
      <c r="AB68" s="7"/>
    </row>
    <row r="69" spans="1:31" x14ac:dyDescent="0.25">
      <c r="A69" s="6" t="s">
        <v>53</v>
      </c>
      <c r="B69" s="6">
        <v>4</v>
      </c>
      <c r="C69" s="6">
        <v>156</v>
      </c>
      <c r="D69" s="6">
        <v>6</v>
      </c>
      <c r="E69" s="6">
        <v>1</v>
      </c>
      <c r="F69" s="7">
        <f t="shared" si="7"/>
        <v>31.2</v>
      </c>
      <c r="G69" s="6">
        <v>6</v>
      </c>
      <c r="H69" s="6">
        <v>209</v>
      </c>
      <c r="I69" s="7">
        <f t="shared" si="4"/>
        <v>34.833333333333336</v>
      </c>
      <c r="J69" s="6"/>
      <c r="K69" s="6"/>
      <c r="L69" s="6">
        <v>6</v>
      </c>
      <c r="M69" s="6">
        <v>156</v>
      </c>
      <c r="N69" s="6">
        <v>6</v>
      </c>
      <c r="O69" s="6">
        <v>1</v>
      </c>
      <c r="P69" s="7">
        <f t="shared" si="10"/>
        <v>31.2</v>
      </c>
      <c r="Q69" s="6">
        <v>6</v>
      </c>
      <c r="R69" s="6">
        <v>209</v>
      </c>
      <c r="S69" s="7">
        <f t="shared" si="11"/>
        <v>34.833333333333336</v>
      </c>
      <c r="T69" s="6"/>
      <c r="Y69" s="12"/>
      <c r="AB69" s="7"/>
      <c r="AD69" s="6"/>
      <c r="AE69" s="8" t="s">
        <v>57</v>
      </c>
    </row>
    <row r="70" spans="1:31" x14ac:dyDescent="0.25">
      <c r="A70" s="6" t="s">
        <v>54</v>
      </c>
      <c r="B70" s="6">
        <v>50</v>
      </c>
      <c r="C70" s="6">
        <v>478</v>
      </c>
      <c r="D70" s="6">
        <v>44</v>
      </c>
      <c r="E70" s="6">
        <v>8</v>
      </c>
      <c r="F70" s="7">
        <f t="shared" si="7"/>
        <v>13.277777777777779</v>
      </c>
      <c r="G70" s="6">
        <v>84</v>
      </c>
      <c r="H70" s="6">
        <v>1413</v>
      </c>
      <c r="I70" s="7">
        <f t="shared" si="4"/>
        <v>16.821428571428573</v>
      </c>
      <c r="J70" s="6"/>
      <c r="K70" s="6"/>
      <c r="L70" s="6"/>
      <c r="M70" s="6"/>
      <c r="N70" s="6"/>
      <c r="O70" s="6"/>
      <c r="P70" s="7"/>
      <c r="Q70" s="6"/>
      <c r="R70" s="6"/>
      <c r="S70" s="7"/>
      <c r="T70" s="6"/>
      <c r="Y70" s="12"/>
      <c r="AA70" s="6"/>
      <c r="AB70" s="7"/>
    </row>
    <row r="71" spans="1:31" x14ac:dyDescent="0.25">
      <c r="A71" s="6" t="s">
        <v>55</v>
      </c>
      <c r="B71" s="6">
        <v>85.5</v>
      </c>
      <c r="C71" s="6">
        <v>2138</v>
      </c>
      <c r="D71" s="6">
        <v>88</v>
      </c>
      <c r="E71" s="6">
        <v>5</v>
      </c>
      <c r="F71" s="7">
        <f t="shared" si="7"/>
        <v>25.759036144578314</v>
      </c>
      <c r="G71" s="6">
        <v>5</v>
      </c>
      <c r="H71" s="6">
        <v>70</v>
      </c>
      <c r="I71" s="7">
        <f t="shared" si="4"/>
        <v>14</v>
      </c>
      <c r="J71" s="6"/>
      <c r="K71" s="6"/>
      <c r="L71" s="6">
        <v>12</v>
      </c>
      <c r="M71" s="6">
        <v>215</v>
      </c>
      <c r="N71" s="6">
        <v>11</v>
      </c>
      <c r="O71" s="6">
        <v>1</v>
      </c>
      <c r="P71" s="7">
        <f t="shared" si="10"/>
        <v>21.5</v>
      </c>
      <c r="Q71" s="6">
        <v>1</v>
      </c>
      <c r="R71" s="6">
        <v>7</v>
      </c>
      <c r="S71" s="7">
        <f t="shared" si="11"/>
        <v>7</v>
      </c>
      <c r="T71" s="6"/>
      <c r="Y71" s="12"/>
      <c r="AB71" s="7"/>
      <c r="AD71" s="6"/>
      <c r="AE71" s="8" t="s">
        <v>58</v>
      </c>
    </row>
    <row r="72" spans="1:31" x14ac:dyDescent="0.25">
      <c r="A72" s="6" t="s">
        <v>56</v>
      </c>
      <c r="B72" s="6">
        <v>83</v>
      </c>
      <c r="C72" s="6">
        <v>468</v>
      </c>
      <c r="D72" s="6">
        <v>76</v>
      </c>
      <c r="E72" s="6">
        <v>22</v>
      </c>
      <c r="F72" s="7">
        <f t="shared" si="7"/>
        <v>8.6666666666666661</v>
      </c>
      <c r="G72" s="6">
        <v>102</v>
      </c>
      <c r="H72" s="6">
        <v>2259</v>
      </c>
      <c r="I72" s="7">
        <f t="shared" si="4"/>
        <v>22.147058823529413</v>
      </c>
      <c r="J72" s="6"/>
      <c r="K72" s="6"/>
      <c r="L72" s="6">
        <v>42</v>
      </c>
      <c r="M72" s="6">
        <v>275</v>
      </c>
      <c r="N72" s="6">
        <v>30</v>
      </c>
      <c r="O72" s="6">
        <v>6</v>
      </c>
      <c r="P72" s="7">
        <f t="shared" si="10"/>
        <v>11.458333333333334</v>
      </c>
      <c r="Q72" s="6">
        <v>62</v>
      </c>
      <c r="R72" s="6">
        <v>1397</v>
      </c>
      <c r="S72" s="7">
        <f t="shared" si="11"/>
        <v>22.532258064516128</v>
      </c>
      <c r="T72" s="6"/>
      <c r="Y72" s="12"/>
      <c r="AB72" s="7"/>
      <c r="AD72" s="6"/>
      <c r="AE72" s="8" t="s">
        <v>59</v>
      </c>
    </row>
    <row r="73" spans="1:31" x14ac:dyDescent="0.25">
      <c r="A73" s="6" t="s">
        <v>60</v>
      </c>
      <c r="B73" s="6">
        <v>16</v>
      </c>
      <c r="C73" s="6">
        <v>388</v>
      </c>
      <c r="D73" s="6">
        <v>24</v>
      </c>
      <c r="E73" s="6">
        <v>5</v>
      </c>
      <c r="F73" s="7">
        <f t="shared" si="7"/>
        <v>20.421052631578949</v>
      </c>
      <c r="G73" s="6"/>
      <c r="H73" s="6">
        <v>9</v>
      </c>
      <c r="I73" s="7"/>
      <c r="J73" s="6"/>
      <c r="K73" s="6"/>
      <c r="L73" s="6">
        <v>27</v>
      </c>
      <c r="M73" s="6">
        <v>388</v>
      </c>
      <c r="N73" s="6">
        <v>24</v>
      </c>
      <c r="O73" s="6">
        <v>5</v>
      </c>
      <c r="P73" s="7">
        <f t="shared" si="10"/>
        <v>20.421052631578949</v>
      </c>
      <c r="Q73" s="6"/>
      <c r="R73" s="6">
        <v>9</v>
      </c>
      <c r="S73" s="7"/>
      <c r="T73" s="6"/>
      <c r="Y73" s="12"/>
      <c r="AB73" s="7"/>
      <c r="AD73" s="6"/>
      <c r="AE73" s="8" t="s">
        <v>61</v>
      </c>
    </row>
    <row r="74" spans="1:31" x14ac:dyDescent="0.25">
      <c r="A74" s="6" t="s">
        <v>878</v>
      </c>
      <c r="B74" s="6">
        <v>1</v>
      </c>
      <c r="C74" s="6">
        <v>1</v>
      </c>
      <c r="D74" s="6">
        <v>1</v>
      </c>
      <c r="E74" s="6"/>
      <c r="F74" s="7">
        <f t="shared" si="7"/>
        <v>1</v>
      </c>
      <c r="G74" s="6"/>
      <c r="H74" s="6"/>
      <c r="I74" s="7"/>
      <c r="J74" s="6"/>
      <c r="K74" s="6"/>
      <c r="L74" s="6"/>
      <c r="M74" s="6"/>
      <c r="N74" s="6"/>
      <c r="O74" s="6"/>
      <c r="P74" s="7"/>
      <c r="Q74" s="6"/>
      <c r="R74" s="6"/>
      <c r="S74" s="7"/>
      <c r="T74" s="6"/>
      <c r="Y74" s="12"/>
      <c r="AB74" s="7"/>
      <c r="AD74" s="6"/>
      <c r="AE74" s="8"/>
    </row>
    <row r="75" spans="1:31" x14ac:dyDescent="0.25">
      <c r="A75" s="6" t="s">
        <v>846</v>
      </c>
      <c r="B75" s="6">
        <v>9</v>
      </c>
      <c r="C75" s="6">
        <v>53</v>
      </c>
      <c r="D75" s="6">
        <v>7</v>
      </c>
      <c r="E75" s="6">
        <v>1</v>
      </c>
      <c r="F75" s="7">
        <f t="shared" si="7"/>
        <v>8.8333333333333339</v>
      </c>
      <c r="G75" s="6">
        <v>2</v>
      </c>
      <c r="H75" s="6">
        <v>102</v>
      </c>
      <c r="I75" s="7">
        <f t="shared" si="4"/>
        <v>51</v>
      </c>
      <c r="J75" s="6"/>
      <c r="K75" s="6"/>
      <c r="L75" s="6"/>
      <c r="M75" s="6"/>
      <c r="N75" s="6"/>
      <c r="O75" s="6"/>
      <c r="P75" s="7"/>
      <c r="Q75" s="6"/>
      <c r="R75" s="6"/>
      <c r="S75" s="7"/>
      <c r="T75" s="6"/>
      <c r="Y75" s="12"/>
      <c r="AA75" s="6"/>
      <c r="AB75" s="7"/>
      <c r="AD75" s="6"/>
      <c r="AE75" s="8" t="s">
        <v>932</v>
      </c>
    </row>
    <row r="76" spans="1:31" x14ac:dyDescent="0.25">
      <c r="A76" s="6" t="s">
        <v>847</v>
      </c>
      <c r="B76" s="6">
        <v>22</v>
      </c>
      <c r="C76" s="6">
        <v>705</v>
      </c>
      <c r="D76" s="6">
        <v>22</v>
      </c>
      <c r="E76" s="6">
        <v>6</v>
      </c>
      <c r="F76" s="7">
        <f t="shared" si="7"/>
        <v>44.0625</v>
      </c>
      <c r="G76" s="6">
        <v>10</v>
      </c>
      <c r="H76" s="6">
        <v>185</v>
      </c>
      <c r="I76" s="7">
        <f t="shared" si="4"/>
        <v>18.5</v>
      </c>
      <c r="J76" s="6"/>
      <c r="K76" s="6"/>
      <c r="L76" s="6"/>
      <c r="M76" s="6"/>
      <c r="N76" s="6"/>
      <c r="O76" s="6"/>
      <c r="P76" s="7"/>
      <c r="Q76" s="6"/>
      <c r="R76" s="6"/>
      <c r="S76" s="7"/>
      <c r="T76" s="6"/>
      <c r="Y76" s="12"/>
      <c r="AA76" s="6"/>
      <c r="AB76" s="7"/>
      <c r="AD76" s="6"/>
      <c r="AE76" s="8" t="s">
        <v>931</v>
      </c>
    </row>
    <row r="77" spans="1:31" x14ac:dyDescent="0.25">
      <c r="A77" s="6" t="s">
        <v>62</v>
      </c>
      <c r="B77" s="6">
        <v>43</v>
      </c>
      <c r="C77" s="6">
        <v>339</v>
      </c>
      <c r="D77" s="6">
        <v>30</v>
      </c>
      <c r="E77" s="6">
        <v>8</v>
      </c>
      <c r="F77" s="7">
        <f t="shared" si="7"/>
        <v>15.409090909090908</v>
      </c>
      <c r="G77" s="6">
        <v>33</v>
      </c>
      <c r="H77" s="6">
        <v>905</v>
      </c>
      <c r="I77" s="7">
        <f t="shared" si="4"/>
        <v>27.424242424242426</v>
      </c>
      <c r="J77" s="6"/>
      <c r="K77" s="6"/>
      <c r="L77" s="6">
        <v>13</v>
      </c>
      <c r="M77" s="6">
        <v>83</v>
      </c>
      <c r="N77" s="6">
        <v>9</v>
      </c>
      <c r="O77" s="6">
        <v>2</v>
      </c>
      <c r="P77" s="7">
        <f t="shared" si="10"/>
        <v>11.857142857142858</v>
      </c>
      <c r="Q77" s="6">
        <v>8</v>
      </c>
      <c r="R77" s="6">
        <v>176</v>
      </c>
      <c r="S77" s="7">
        <f t="shared" si="11"/>
        <v>22</v>
      </c>
      <c r="T77" s="6"/>
      <c r="Y77" s="12"/>
      <c r="AB77" s="7"/>
      <c r="AD77" s="6"/>
      <c r="AE77" s="8" t="s">
        <v>1058</v>
      </c>
    </row>
    <row r="78" spans="1:31" x14ac:dyDescent="0.25">
      <c r="A78" s="6" t="s">
        <v>848</v>
      </c>
      <c r="B78" s="6">
        <v>6</v>
      </c>
      <c r="C78" s="6"/>
      <c r="D78" s="6">
        <v>2</v>
      </c>
      <c r="E78" s="6">
        <v>1</v>
      </c>
      <c r="F78" s="7"/>
      <c r="G78" s="6"/>
      <c r="H78" s="6">
        <v>36</v>
      </c>
      <c r="I78" s="7"/>
      <c r="J78" s="6"/>
      <c r="K78" s="6"/>
      <c r="L78" s="6"/>
      <c r="M78" s="6"/>
      <c r="N78" s="6"/>
      <c r="O78" s="6"/>
      <c r="P78" s="7"/>
      <c r="Q78" s="6"/>
      <c r="R78" s="6"/>
      <c r="S78" s="7"/>
      <c r="T78" s="6"/>
      <c r="Y78" s="12"/>
      <c r="AA78" s="6"/>
      <c r="AB78" s="7"/>
    </row>
    <row r="79" spans="1:31" x14ac:dyDescent="0.25">
      <c r="A79" s="6" t="s">
        <v>988</v>
      </c>
      <c r="B79" s="6">
        <v>42.5</v>
      </c>
      <c r="C79" s="6">
        <v>155</v>
      </c>
      <c r="D79" s="6">
        <v>27</v>
      </c>
      <c r="E79" s="6">
        <v>13</v>
      </c>
      <c r="F79" s="7">
        <f t="shared" si="7"/>
        <v>11.071428571428571</v>
      </c>
      <c r="G79" s="6">
        <v>45</v>
      </c>
      <c r="H79" s="6">
        <v>1295</v>
      </c>
      <c r="I79" s="7">
        <f t="shared" si="4"/>
        <v>28.777777777777779</v>
      </c>
      <c r="J79" s="6"/>
      <c r="K79" s="6"/>
      <c r="L79" s="6"/>
      <c r="M79" s="6"/>
      <c r="N79" s="6"/>
      <c r="O79" s="6"/>
      <c r="P79" s="7"/>
      <c r="Q79" s="6"/>
      <c r="R79" s="6"/>
      <c r="S79" s="7"/>
      <c r="T79" s="6"/>
      <c r="U79" s="13">
        <v>15</v>
      </c>
      <c r="V79" s="13">
        <v>10</v>
      </c>
      <c r="W79" s="13">
        <v>4</v>
      </c>
      <c r="X79" s="13">
        <v>3</v>
      </c>
      <c r="Y79" s="11">
        <f t="shared" ref="Y79" si="15">(V79)/(W79-X79)</f>
        <v>10</v>
      </c>
      <c r="Z79" s="13">
        <v>14</v>
      </c>
      <c r="AA79" s="6">
        <v>369</v>
      </c>
      <c r="AB79" s="7">
        <f t="shared" si="13"/>
        <v>26.357142857142858</v>
      </c>
      <c r="AE79" s="8" t="s">
        <v>1123</v>
      </c>
    </row>
    <row r="80" spans="1:31" x14ac:dyDescent="0.25">
      <c r="A80" s="6" t="s">
        <v>63</v>
      </c>
      <c r="B80" s="6">
        <v>43</v>
      </c>
      <c r="C80" s="6">
        <v>889</v>
      </c>
      <c r="D80" s="6">
        <v>42</v>
      </c>
      <c r="E80" s="6">
        <v>14</v>
      </c>
      <c r="F80" s="7">
        <f t="shared" si="7"/>
        <v>31.75</v>
      </c>
      <c r="G80" s="6">
        <v>35</v>
      </c>
      <c r="H80" s="6">
        <v>668</v>
      </c>
      <c r="I80" s="7">
        <f t="shared" si="4"/>
        <v>19.085714285714285</v>
      </c>
      <c r="J80" s="6"/>
      <c r="K80" s="6"/>
      <c r="L80" s="6">
        <v>1</v>
      </c>
      <c r="M80" s="6">
        <v>24</v>
      </c>
      <c r="N80" s="6">
        <v>1</v>
      </c>
      <c r="O80" s="6"/>
      <c r="P80" s="7">
        <f t="shared" si="10"/>
        <v>24</v>
      </c>
      <c r="Q80" s="6">
        <v>1</v>
      </c>
      <c r="R80" s="6">
        <v>50</v>
      </c>
      <c r="S80" s="7">
        <f t="shared" si="11"/>
        <v>50</v>
      </c>
      <c r="T80" s="6"/>
      <c r="Y80" s="11"/>
      <c r="AB80" s="11"/>
      <c r="AD80" s="6"/>
      <c r="AE80" s="8" t="s">
        <v>874</v>
      </c>
    </row>
    <row r="81" spans="1:31" x14ac:dyDescent="0.25">
      <c r="A81" s="6" t="s">
        <v>1012</v>
      </c>
      <c r="B81" s="6">
        <v>4</v>
      </c>
      <c r="C81" s="6">
        <v>13</v>
      </c>
      <c r="D81" s="6">
        <v>2</v>
      </c>
      <c r="E81" s="6"/>
      <c r="F81" s="7">
        <f t="shared" si="7"/>
        <v>6.5</v>
      </c>
      <c r="G81" s="6"/>
      <c r="H81" s="6">
        <v>16</v>
      </c>
      <c r="I81" s="7"/>
      <c r="J81" s="6"/>
      <c r="K81" s="6"/>
      <c r="L81" s="6"/>
      <c r="M81" s="6"/>
      <c r="N81" s="6"/>
      <c r="O81" s="6"/>
      <c r="P81" s="7"/>
      <c r="Q81" s="6"/>
      <c r="R81" s="6"/>
      <c r="S81" s="7"/>
      <c r="T81" s="6"/>
      <c r="Y81" s="11"/>
      <c r="AB81" s="11"/>
      <c r="AD81" s="6"/>
      <c r="AE81" s="8" t="s">
        <v>983</v>
      </c>
    </row>
    <row r="82" spans="1:31" x14ac:dyDescent="0.25">
      <c r="A82" s="6" t="s">
        <v>64</v>
      </c>
      <c r="B82" s="6">
        <v>3</v>
      </c>
      <c r="C82" s="6">
        <v>22</v>
      </c>
      <c r="D82" s="6">
        <v>4</v>
      </c>
      <c r="E82" s="6"/>
      <c r="F82" s="7">
        <f t="shared" si="7"/>
        <v>5.5</v>
      </c>
      <c r="G82" s="6"/>
      <c r="H82" s="6">
        <v>48</v>
      </c>
      <c r="I82" s="7"/>
      <c r="J82" s="6"/>
      <c r="K82" s="6"/>
      <c r="L82" s="6"/>
      <c r="M82" s="6"/>
      <c r="N82" s="6"/>
      <c r="O82" s="6"/>
      <c r="P82" s="7"/>
      <c r="Q82" s="6"/>
      <c r="R82" s="6"/>
      <c r="S82" s="7"/>
      <c r="T82" s="6"/>
      <c r="Y82" s="11"/>
      <c r="AA82" s="6"/>
      <c r="AB82" s="11"/>
    </row>
    <row r="83" spans="1:31" x14ac:dyDescent="0.25">
      <c r="A83" s="6" t="s">
        <v>65</v>
      </c>
      <c r="B83" s="6">
        <v>62</v>
      </c>
      <c r="C83" s="6">
        <v>908</v>
      </c>
      <c r="D83" s="6">
        <v>69</v>
      </c>
      <c r="E83" s="6">
        <v>4</v>
      </c>
      <c r="F83" s="7">
        <f t="shared" si="7"/>
        <v>13.969230769230769</v>
      </c>
      <c r="G83" s="6">
        <v>103</v>
      </c>
      <c r="H83" s="6">
        <v>2102</v>
      </c>
      <c r="I83" s="7">
        <f t="shared" si="4"/>
        <v>20.407766990291261</v>
      </c>
      <c r="J83" s="6"/>
      <c r="K83" s="6"/>
      <c r="L83" s="6"/>
      <c r="M83" s="6"/>
      <c r="N83" s="6"/>
      <c r="O83" s="6"/>
      <c r="P83" s="7"/>
      <c r="Q83" s="6"/>
      <c r="R83" s="6"/>
      <c r="S83" s="7"/>
      <c r="T83" s="6"/>
      <c r="Y83" s="11"/>
      <c r="AA83" s="6"/>
      <c r="AB83" s="11"/>
    </row>
    <row r="84" spans="1:31" x14ac:dyDescent="0.25">
      <c r="A84" s="6" t="s">
        <v>66</v>
      </c>
      <c r="B84" s="6">
        <v>28</v>
      </c>
      <c r="C84" s="6">
        <v>548</v>
      </c>
      <c r="D84" s="6">
        <v>26</v>
      </c>
      <c r="E84" s="6">
        <v>2</v>
      </c>
      <c r="F84" s="7">
        <f t="shared" si="7"/>
        <v>22.833333333333332</v>
      </c>
      <c r="G84" s="6">
        <v>41</v>
      </c>
      <c r="H84" s="6">
        <v>732</v>
      </c>
      <c r="I84" s="7">
        <f t="shared" si="4"/>
        <v>17.853658536585368</v>
      </c>
      <c r="J84" s="6"/>
      <c r="K84" s="6"/>
      <c r="L84" s="6"/>
      <c r="M84" s="6"/>
      <c r="N84" s="6"/>
      <c r="O84" s="6"/>
      <c r="P84" s="7"/>
      <c r="Q84" s="6"/>
      <c r="R84" s="6"/>
      <c r="S84" s="7"/>
      <c r="T84" s="6"/>
      <c r="Y84" s="11"/>
      <c r="AA84" s="6"/>
      <c r="AB84" s="11"/>
    </row>
    <row r="85" spans="1:31" x14ac:dyDescent="0.25">
      <c r="A85" s="6" t="s">
        <v>67</v>
      </c>
      <c r="B85" s="6">
        <v>5</v>
      </c>
      <c r="C85" s="6">
        <v>63</v>
      </c>
      <c r="D85" s="6">
        <v>5</v>
      </c>
      <c r="E85" s="6"/>
      <c r="F85" s="7">
        <f t="shared" si="7"/>
        <v>12.6</v>
      </c>
      <c r="G85" s="6">
        <v>3</v>
      </c>
      <c r="H85" s="6">
        <v>20</v>
      </c>
      <c r="I85" s="7">
        <f t="shared" si="4"/>
        <v>6.666666666666667</v>
      </c>
      <c r="J85" s="6"/>
      <c r="K85" s="6"/>
      <c r="L85" s="6"/>
      <c r="M85" s="6"/>
      <c r="N85" s="6"/>
      <c r="O85" s="6"/>
      <c r="P85" s="7"/>
      <c r="Q85" s="6"/>
      <c r="R85" s="6"/>
      <c r="S85" s="7"/>
      <c r="T85" s="6"/>
      <c r="Y85" s="11"/>
      <c r="AA85" s="6"/>
      <c r="AB85" s="11"/>
    </row>
    <row r="86" spans="1:31" x14ac:dyDescent="0.25">
      <c r="A86" s="6" t="s">
        <v>1007</v>
      </c>
      <c r="B86" s="6">
        <v>11</v>
      </c>
      <c r="C86" s="6">
        <v>140</v>
      </c>
      <c r="D86" s="6">
        <v>11</v>
      </c>
      <c r="E86" s="6">
        <v>1</v>
      </c>
      <c r="F86" s="7">
        <f>(C86/(D86-E86))</f>
        <v>14</v>
      </c>
      <c r="G86" s="6">
        <v>7</v>
      </c>
      <c r="H86" s="6">
        <v>180</v>
      </c>
      <c r="I86" s="7"/>
      <c r="J86" s="6"/>
      <c r="K86" s="6"/>
      <c r="L86" s="6"/>
      <c r="M86" s="6"/>
      <c r="N86" s="6"/>
      <c r="O86" s="6"/>
      <c r="P86" s="7"/>
      <c r="Q86" s="6"/>
      <c r="R86" s="6"/>
      <c r="S86" s="7"/>
      <c r="T86" s="6"/>
      <c r="Y86" s="11"/>
      <c r="AB86" s="11"/>
      <c r="AD86" s="6"/>
      <c r="AE86" s="8" t="s">
        <v>1013</v>
      </c>
    </row>
    <row r="87" spans="1:31" x14ac:dyDescent="0.25">
      <c r="A87" s="6" t="s">
        <v>68</v>
      </c>
      <c r="B87" s="6">
        <v>42.5</v>
      </c>
      <c r="C87" s="6">
        <v>461</v>
      </c>
      <c r="D87" s="6">
        <v>40</v>
      </c>
      <c r="E87" s="6">
        <v>2</v>
      </c>
      <c r="F87" s="7">
        <f t="shared" si="7"/>
        <v>12.131578947368421</v>
      </c>
      <c r="G87" s="6">
        <v>14</v>
      </c>
      <c r="H87" s="6">
        <v>326</v>
      </c>
      <c r="I87" s="7">
        <f t="shared" si="4"/>
        <v>23.285714285714285</v>
      </c>
      <c r="J87" s="6"/>
      <c r="K87" s="6"/>
      <c r="L87" s="6">
        <v>7</v>
      </c>
      <c r="M87" s="6">
        <v>53</v>
      </c>
      <c r="N87" s="6">
        <v>7</v>
      </c>
      <c r="O87" s="6">
        <v>1</v>
      </c>
      <c r="P87" s="7">
        <f t="shared" si="10"/>
        <v>8.8333333333333339</v>
      </c>
      <c r="Q87" s="6"/>
      <c r="R87" s="6">
        <v>17</v>
      </c>
      <c r="S87" s="7"/>
      <c r="T87" s="6"/>
      <c r="Y87" s="11"/>
      <c r="AB87" s="11"/>
      <c r="AD87" s="6"/>
      <c r="AE87" s="8" t="s">
        <v>69</v>
      </c>
    </row>
    <row r="88" spans="1:31" x14ac:dyDescent="0.25">
      <c r="A88" s="6" t="s">
        <v>916</v>
      </c>
      <c r="B88" s="6">
        <v>105</v>
      </c>
      <c r="C88" s="6">
        <v>1596</v>
      </c>
      <c r="D88" s="6">
        <v>100</v>
      </c>
      <c r="E88" s="6">
        <v>14</v>
      </c>
      <c r="F88" s="7">
        <f t="shared" si="7"/>
        <v>18.558139534883722</v>
      </c>
      <c r="G88" s="6">
        <v>16</v>
      </c>
      <c r="H88" s="6">
        <v>816</v>
      </c>
      <c r="I88" s="7">
        <f t="shared" si="4"/>
        <v>51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276</v>
      </c>
      <c r="V88" s="6">
        <v>191</v>
      </c>
      <c r="W88" s="6">
        <v>20</v>
      </c>
      <c r="X88" s="6">
        <v>4</v>
      </c>
      <c r="Y88" s="11">
        <f t="shared" ref="Y88:Y107" si="16">(V88)/(W88-X88)</f>
        <v>11.9375</v>
      </c>
      <c r="Z88" s="6"/>
      <c r="AA88" s="6"/>
      <c r="AB88" s="6"/>
      <c r="AC88" s="6"/>
      <c r="AD88" s="6"/>
      <c r="AE88" s="8" t="s">
        <v>1124</v>
      </c>
    </row>
    <row r="89" spans="1:31" x14ac:dyDescent="0.25">
      <c r="A89" s="6" t="s">
        <v>70</v>
      </c>
      <c r="B89" s="6">
        <v>9</v>
      </c>
      <c r="C89" s="6">
        <v>107</v>
      </c>
      <c r="D89" s="6">
        <v>13</v>
      </c>
      <c r="E89" s="6"/>
      <c r="F89" s="7">
        <f t="shared" si="7"/>
        <v>8.2307692307692299</v>
      </c>
      <c r="G89" s="6">
        <v>4</v>
      </c>
      <c r="H89" s="6">
        <v>80</v>
      </c>
      <c r="I89" s="7">
        <f t="shared" si="4"/>
        <v>20</v>
      </c>
      <c r="J89" s="6"/>
      <c r="K89" s="6"/>
      <c r="L89" s="6"/>
      <c r="M89" s="6"/>
      <c r="N89" s="6"/>
      <c r="O89" s="6"/>
      <c r="P89" s="7"/>
      <c r="Q89" s="6"/>
      <c r="R89" s="6"/>
      <c r="S89" s="7"/>
      <c r="T89" s="6"/>
      <c r="Y89" s="11"/>
      <c r="AA89" s="6"/>
      <c r="AB89" s="11"/>
    </row>
    <row r="90" spans="1:31" x14ac:dyDescent="0.25">
      <c r="A90" s="6" t="s">
        <v>71</v>
      </c>
      <c r="B90" s="6">
        <v>2</v>
      </c>
      <c r="C90" s="6">
        <v>71</v>
      </c>
      <c r="D90" s="6">
        <v>2</v>
      </c>
      <c r="E90" s="6"/>
      <c r="F90" s="7">
        <f t="shared" si="7"/>
        <v>35.5</v>
      </c>
      <c r="G90" s="6"/>
      <c r="H90" s="6"/>
      <c r="I90" s="7"/>
      <c r="J90" s="6"/>
      <c r="K90" s="6"/>
      <c r="L90" s="6"/>
      <c r="M90" s="6"/>
      <c r="N90" s="6"/>
      <c r="O90" s="6"/>
      <c r="P90" s="7"/>
      <c r="Q90" s="6"/>
      <c r="R90" s="6"/>
      <c r="S90" s="7"/>
      <c r="T90" s="6"/>
      <c r="Y90" s="11"/>
      <c r="AA90" s="6"/>
      <c r="AB90" s="11"/>
    </row>
    <row r="91" spans="1:31" x14ac:dyDescent="0.25">
      <c r="A91" s="6" t="s">
        <v>72</v>
      </c>
      <c r="B91" s="6">
        <v>50.5</v>
      </c>
      <c r="C91" s="6">
        <v>1094</v>
      </c>
      <c r="D91" s="6">
        <v>48</v>
      </c>
      <c r="E91" s="6">
        <v>2</v>
      </c>
      <c r="F91" s="7">
        <f t="shared" si="7"/>
        <v>23.782608695652176</v>
      </c>
      <c r="G91" s="6">
        <v>15</v>
      </c>
      <c r="H91" s="6">
        <v>5487</v>
      </c>
      <c r="I91" s="7">
        <f t="shared" si="4"/>
        <v>365.8</v>
      </c>
      <c r="J91" s="6"/>
      <c r="K91" s="6"/>
      <c r="L91" s="6">
        <v>5</v>
      </c>
      <c r="M91" s="6">
        <v>138</v>
      </c>
      <c r="N91" s="6">
        <v>5</v>
      </c>
      <c r="O91" s="6"/>
      <c r="P91" s="7">
        <f t="shared" si="10"/>
        <v>27.6</v>
      </c>
      <c r="Q91" s="6">
        <v>2</v>
      </c>
      <c r="R91" s="6">
        <v>108</v>
      </c>
      <c r="S91" s="7">
        <f t="shared" si="11"/>
        <v>54</v>
      </c>
      <c r="T91" s="6"/>
      <c r="U91" s="8">
        <v>1</v>
      </c>
      <c r="V91" s="6">
        <v>7</v>
      </c>
      <c r="W91" s="6">
        <v>1</v>
      </c>
      <c r="Y91" s="11">
        <f t="shared" si="16"/>
        <v>7</v>
      </c>
      <c r="AB91" s="11"/>
      <c r="AD91" s="6"/>
      <c r="AE91" s="8" t="s">
        <v>1085</v>
      </c>
    </row>
    <row r="92" spans="1:31" x14ac:dyDescent="0.25">
      <c r="A92" s="6" t="s">
        <v>781</v>
      </c>
      <c r="B92" s="6">
        <v>4</v>
      </c>
      <c r="C92" s="6">
        <v>80</v>
      </c>
      <c r="D92" s="6">
        <v>4</v>
      </c>
      <c r="E92" s="6"/>
      <c r="F92" s="7">
        <f t="shared" si="7"/>
        <v>20</v>
      </c>
      <c r="G92" s="6"/>
      <c r="H92" s="6">
        <v>9</v>
      </c>
      <c r="I92" s="7"/>
      <c r="J92" s="6"/>
      <c r="K92" s="6"/>
      <c r="L92" s="6"/>
      <c r="M92" s="6"/>
      <c r="N92" s="6"/>
      <c r="O92" s="6"/>
      <c r="P92" s="7"/>
      <c r="Q92" s="6"/>
      <c r="R92" s="6"/>
      <c r="S92" s="7"/>
      <c r="T92" s="6"/>
      <c r="Y92" s="11"/>
      <c r="AA92" s="6"/>
      <c r="AB92" s="11"/>
    </row>
    <row r="93" spans="1:31" x14ac:dyDescent="0.25">
      <c r="A93" s="6" t="s">
        <v>73</v>
      </c>
      <c r="B93" s="6">
        <v>74</v>
      </c>
      <c r="C93" s="6">
        <v>256</v>
      </c>
      <c r="D93" s="6">
        <v>70</v>
      </c>
      <c r="E93" s="6">
        <v>16</v>
      </c>
      <c r="F93" s="7">
        <f t="shared" si="7"/>
        <v>4.7407407407407405</v>
      </c>
      <c r="G93" s="6">
        <v>87</v>
      </c>
      <c r="H93" s="6">
        <v>1276</v>
      </c>
      <c r="I93" s="7">
        <f t="shared" si="4"/>
        <v>14.666666666666666</v>
      </c>
      <c r="J93" s="6"/>
      <c r="K93" s="6"/>
      <c r="L93" s="6">
        <v>2</v>
      </c>
      <c r="M93" s="6">
        <v>11</v>
      </c>
      <c r="N93" s="6">
        <v>1</v>
      </c>
      <c r="O93" s="6">
        <v>1</v>
      </c>
      <c r="P93" s="7"/>
      <c r="Q93" s="6">
        <v>1</v>
      </c>
      <c r="R93" s="6">
        <v>54</v>
      </c>
      <c r="S93" s="7">
        <f t="shared" si="11"/>
        <v>54</v>
      </c>
      <c r="T93" s="6"/>
      <c r="Y93" s="11"/>
      <c r="AB93" s="11"/>
      <c r="AD93" s="6"/>
      <c r="AE93" s="8" t="s">
        <v>782</v>
      </c>
    </row>
    <row r="94" spans="1:31" x14ac:dyDescent="0.25">
      <c r="A94" s="6" t="s">
        <v>74</v>
      </c>
      <c r="B94" s="6">
        <v>1</v>
      </c>
      <c r="C94" s="6"/>
      <c r="D94" s="6"/>
      <c r="E94" s="6"/>
      <c r="F94" s="7"/>
      <c r="G94" s="6"/>
      <c r="H94" s="6"/>
      <c r="I94" s="7"/>
      <c r="J94" s="6"/>
      <c r="K94" s="6"/>
      <c r="L94" s="6"/>
      <c r="M94" s="6"/>
      <c r="N94" s="6"/>
      <c r="O94" s="6"/>
      <c r="P94" s="7"/>
      <c r="Q94" s="6"/>
      <c r="R94" s="6"/>
      <c r="S94" s="7"/>
      <c r="T94" s="6"/>
      <c r="Y94" s="11"/>
      <c r="AA94" s="6"/>
      <c r="AB94" s="11"/>
    </row>
    <row r="95" spans="1:31" x14ac:dyDescent="0.25">
      <c r="A95" s="6" t="s">
        <v>635</v>
      </c>
      <c r="B95" s="6">
        <v>86</v>
      </c>
      <c r="C95" s="6">
        <v>326</v>
      </c>
      <c r="D95" s="6">
        <v>73</v>
      </c>
      <c r="E95" s="6">
        <v>12</v>
      </c>
      <c r="F95" s="7">
        <f t="shared" si="7"/>
        <v>5.3442622950819674</v>
      </c>
      <c r="G95" s="6">
        <v>49</v>
      </c>
      <c r="H95" s="6">
        <v>1348</v>
      </c>
      <c r="I95" s="7">
        <f t="shared" si="4"/>
        <v>27.510204081632654</v>
      </c>
      <c r="J95" s="6"/>
      <c r="K95" s="6"/>
      <c r="L95" s="6">
        <v>2</v>
      </c>
      <c r="M95" s="6"/>
      <c r="N95" s="6"/>
      <c r="O95" s="6"/>
      <c r="P95" s="7"/>
      <c r="Q95" s="6"/>
      <c r="R95" s="6">
        <v>45</v>
      </c>
      <c r="S95" s="7"/>
      <c r="T95" s="6"/>
      <c r="Y95" s="11"/>
      <c r="AB95" s="11"/>
      <c r="AD95" s="6"/>
      <c r="AE95" s="8" t="s">
        <v>681</v>
      </c>
    </row>
    <row r="96" spans="1:31" x14ac:dyDescent="0.25">
      <c r="A96" s="6" t="s">
        <v>75</v>
      </c>
      <c r="B96" s="6">
        <v>1</v>
      </c>
      <c r="C96" s="6">
        <v>8</v>
      </c>
      <c r="D96" s="6">
        <v>1</v>
      </c>
      <c r="E96" s="6"/>
      <c r="F96" s="7">
        <f t="shared" si="7"/>
        <v>8</v>
      </c>
      <c r="G96" s="6"/>
      <c r="H96" s="6"/>
      <c r="I96" s="7"/>
      <c r="J96" s="6"/>
      <c r="K96" s="6"/>
      <c r="L96" s="6"/>
      <c r="M96" s="6"/>
      <c r="N96" s="6"/>
      <c r="O96" s="6"/>
      <c r="P96" s="7"/>
      <c r="Q96" s="6"/>
      <c r="R96" s="6"/>
      <c r="S96" s="7"/>
      <c r="T96" s="6"/>
      <c r="Y96" s="11"/>
      <c r="AA96" s="6"/>
      <c r="AB96" s="11"/>
    </row>
    <row r="97" spans="1:31" x14ac:dyDescent="0.25">
      <c r="A97" s="6" t="s">
        <v>76</v>
      </c>
      <c r="B97" s="6">
        <v>1</v>
      </c>
      <c r="C97" s="6">
        <v>9</v>
      </c>
      <c r="D97" s="6">
        <v>1</v>
      </c>
      <c r="E97" s="6">
        <v>1</v>
      </c>
      <c r="F97" s="7"/>
      <c r="G97" s="6">
        <v>1</v>
      </c>
      <c r="H97" s="6">
        <v>19</v>
      </c>
      <c r="I97" s="7">
        <f t="shared" si="4"/>
        <v>19</v>
      </c>
      <c r="J97" s="6"/>
      <c r="K97" s="6"/>
      <c r="L97" s="6">
        <v>1</v>
      </c>
      <c r="M97" s="6">
        <v>9</v>
      </c>
      <c r="N97" s="6">
        <v>1</v>
      </c>
      <c r="O97" s="6">
        <v>1</v>
      </c>
      <c r="P97" s="7"/>
      <c r="Q97" s="6">
        <v>1</v>
      </c>
      <c r="R97" s="6">
        <v>19</v>
      </c>
      <c r="S97" s="7">
        <f t="shared" si="11"/>
        <v>19</v>
      </c>
      <c r="T97" s="6"/>
      <c r="Y97" s="11"/>
      <c r="AB97" s="11"/>
      <c r="AD97" s="6"/>
      <c r="AE97" s="8" t="s">
        <v>23</v>
      </c>
    </row>
    <row r="98" spans="1:31" x14ac:dyDescent="0.25">
      <c r="A98" s="6" t="s">
        <v>77</v>
      </c>
      <c r="B98" s="6">
        <v>7</v>
      </c>
      <c r="C98" s="6">
        <v>193</v>
      </c>
      <c r="D98" s="6">
        <v>12</v>
      </c>
      <c r="E98" s="6"/>
      <c r="F98" s="7">
        <f t="shared" si="7"/>
        <v>16.083333333333332</v>
      </c>
      <c r="G98" s="6">
        <v>9</v>
      </c>
      <c r="H98" s="6">
        <v>224</v>
      </c>
      <c r="I98" s="7">
        <f t="shared" si="4"/>
        <v>24.888888888888889</v>
      </c>
      <c r="J98" s="6"/>
      <c r="K98" s="6"/>
      <c r="L98" s="6"/>
      <c r="M98" s="6"/>
      <c r="N98" s="6"/>
      <c r="O98" s="6"/>
      <c r="P98" s="7"/>
      <c r="Q98" s="6"/>
      <c r="R98" s="6"/>
      <c r="S98" s="7"/>
      <c r="T98" s="6"/>
      <c r="Y98" s="11"/>
      <c r="AA98" s="6"/>
      <c r="AB98" s="11"/>
    </row>
    <row r="99" spans="1:31" x14ac:dyDescent="0.25">
      <c r="A99" s="6" t="s">
        <v>78</v>
      </c>
      <c r="B99" s="6">
        <v>6</v>
      </c>
      <c r="C99" s="6">
        <v>14</v>
      </c>
      <c r="D99" s="6">
        <v>5</v>
      </c>
      <c r="E99" s="6"/>
      <c r="F99" s="7">
        <f t="shared" si="7"/>
        <v>2.8</v>
      </c>
      <c r="G99" s="6">
        <v>10</v>
      </c>
      <c r="H99" s="6">
        <v>180</v>
      </c>
      <c r="I99" s="7">
        <f t="shared" si="4"/>
        <v>18</v>
      </c>
      <c r="J99" s="6"/>
      <c r="K99" s="6"/>
      <c r="L99" s="6"/>
      <c r="M99" s="6"/>
      <c r="N99" s="6"/>
      <c r="O99" s="6"/>
      <c r="P99" s="7"/>
      <c r="Q99" s="6"/>
      <c r="R99" s="6"/>
      <c r="S99" s="7"/>
      <c r="T99" s="6"/>
      <c r="Y99" s="11"/>
      <c r="AA99" s="6"/>
      <c r="AB99" s="11"/>
    </row>
    <row r="100" spans="1:31" x14ac:dyDescent="0.25">
      <c r="A100" s="6" t="s">
        <v>79</v>
      </c>
      <c r="B100" s="6">
        <v>5</v>
      </c>
      <c r="C100" s="6">
        <v>30</v>
      </c>
      <c r="D100" s="6">
        <v>6</v>
      </c>
      <c r="E100" s="6">
        <v>1</v>
      </c>
      <c r="F100" s="7">
        <f t="shared" si="7"/>
        <v>6</v>
      </c>
      <c r="G100" s="6">
        <v>21</v>
      </c>
      <c r="H100" s="6">
        <v>226</v>
      </c>
      <c r="I100" s="7">
        <f t="shared" si="4"/>
        <v>10.761904761904763</v>
      </c>
      <c r="J100" s="6"/>
      <c r="K100" s="6"/>
      <c r="L100" s="6"/>
      <c r="M100" s="6"/>
      <c r="N100" s="6"/>
      <c r="O100" s="6"/>
      <c r="P100" s="7"/>
      <c r="Q100" s="6"/>
      <c r="R100" s="6"/>
      <c r="S100" s="7"/>
      <c r="T100" s="6"/>
      <c r="Y100" s="11"/>
      <c r="AA100" s="6"/>
      <c r="AB100" s="11"/>
    </row>
    <row r="101" spans="1:31" x14ac:dyDescent="0.25">
      <c r="A101" s="6" t="s">
        <v>80</v>
      </c>
      <c r="B101" s="6">
        <v>19</v>
      </c>
      <c r="C101" s="6">
        <v>166</v>
      </c>
      <c r="D101" s="6">
        <v>19</v>
      </c>
      <c r="E101" s="6">
        <v>1</v>
      </c>
      <c r="F101" s="7">
        <f t="shared" si="7"/>
        <v>9.2222222222222214</v>
      </c>
      <c r="G101" s="6">
        <v>11</v>
      </c>
      <c r="H101" s="6">
        <v>245</v>
      </c>
      <c r="I101" s="7">
        <f t="shared" si="4"/>
        <v>22.272727272727273</v>
      </c>
      <c r="J101" s="6"/>
      <c r="K101" s="6"/>
      <c r="L101" s="6">
        <v>1</v>
      </c>
      <c r="M101" s="6">
        <v>46</v>
      </c>
      <c r="N101" s="6">
        <v>1</v>
      </c>
      <c r="O101" s="6"/>
      <c r="P101" s="7">
        <f t="shared" si="10"/>
        <v>46</v>
      </c>
      <c r="Q101" s="6">
        <v>1</v>
      </c>
      <c r="R101" s="6">
        <v>43</v>
      </c>
      <c r="S101" s="7">
        <f t="shared" si="11"/>
        <v>43</v>
      </c>
      <c r="T101" s="6"/>
      <c r="Y101" s="11"/>
      <c r="AB101" s="11"/>
      <c r="AD101" s="6"/>
      <c r="AE101" s="8" t="s">
        <v>81</v>
      </c>
    </row>
    <row r="102" spans="1:31" x14ac:dyDescent="0.25">
      <c r="A102" s="6" t="s">
        <v>82</v>
      </c>
      <c r="B102" s="6">
        <v>156</v>
      </c>
      <c r="C102" s="6">
        <v>4044</v>
      </c>
      <c r="D102" s="6">
        <v>163</v>
      </c>
      <c r="E102" s="6">
        <v>39</v>
      </c>
      <c r="F102" s="7">
        <f t="shared" si="7"/>
        <v>32.612903225806448</v>
      </c>
      <c r="G102" s="6">
        <v>188</v>
      </c>
      <c r="H102" s="6">
        <v>3624</v>
      </c>
      <c r="I102" s="7">
        <f t="shared" si="4"/>
        <v>19.276595744680851</v>
      </c>
      <c r="J102" s="6"/>
      <c r="K102" s="6"/>
      <c r="L102" s="6">
        <v>57</v>
      </c>
      <c r="M102" s="6">
        <v>1872</v>
      </c>
      <c r="N102" s="6">
        <v>53</v>
      </c>
      <c r="O102" s="6">
        <v>19</v>
      </c>
      <c r="P102" s="7">
        <f t="shared" si="10"/>
        <v>55.058823529411768</v>
      </c>
      <c r="Q102" s="6">
        <v>3</v>
      </c>
      <c r="R102" s="6">
        <v>33</v>
      </c>
      <c r="S102" s="7">
        <f t="shared" si="11"/>
        <v>11</v>
      </c>
      <c r="T102" s="6"/>
      <c r="Y102" s="11"/>
      <c r="AB102" s="11"/>
      <c r="AD102" s="6"/>
      <c r="AE102" s="8" t="s">
        <v>636</v>
      </c>
    </row>
    <row r="103" spans="1:31" x14ac:dyDescent="0.25">
      <c r="A103" s="6" t="s">
        <v>83</v>
      </c>
      <c r="B103" s="6">
        <v>30</v>
      </c>
      <c r="C103" s="6">
        <v>554</v>
      </c>
      <c r="D103" s="6">
        <v>39</v>
      </c>
      <c r="E103" s="6">
        <v>5</v>
      </c>
      <c r="F103" s="7">
        <f t="shared" si="7"/>
        <v>16.294117647058822</v>
      </c>
      <c r="G103" s="6">
        <v>23</v>
      </c>
      <c r="H103" s="6">
        <v>514</v>
      </c>
      <c r="I103" s="7">
        <f t="shared" si="4"/>
        <v>22.347826086956523</v>
      </c>
      <c r="J103" s="6"/>
      <c r="K103" s="6"/>
      <c r="L103" s="6"/>
      <c r="M103" s="6"/>
      <c r="N103" s="6"/>
      <c r="O103" s="6"/>
      <c r="P103" s="7"/>
      <c r="Q103" s="6"/>
      <c r="R103" s="6"/>
      <c r="S103" s="7"/>
      <c r="T103" s="6"/>
      <c r="Y103" s="11"/>
      <c r="AA103" s="6"/>
      <c r="AB103" s="11"/>
    </row>
    <row r="104" spans="1:31" x14ac:dyDescent="0.25">
      <c r="A104" s="6" t="s">
        <v>84</v>
      </c>
      <c r="B104" s="11">
        <v>241.5</v>
      </c>
      <c r="C104" s="6">
        <v>4034</v>
      </c>
      <c r="D104" s="6">
        <v>242</v>
      </c>
      <c r="E104" s="6">
        <v>32</v>
      </c>
      <c r="F104" s="7">
        <f t="shared" si="7"/>
        <v>19.209523809523809</v>
      </c>
      <c r="G104" s="6">
        <v>144</v>
      </c>
      <c r="H104" s="6">
        <v>2266</v>
      </c>
      <c r="I104" s="7">
        <f t="shared" si="4"/>
        <v>15.736111111111111</v>
      </c>
      <c r="J104" s="6"/>
      <c r="K104" s="6"/>
      <c r="L104" s="6">
        <v>5</v>
      </c>
      <c r="M104" s="6">
        <v>121</v>
      </c>
      <c r="N104" s="6">
        <v>4</v>
      </c>
      <c r="O104" s="6">
        <v>2</v>
      </c>
      <c r="P104" s="7">
        <f t="shared" si="10"/>
        <v>60.5</v>
      </c>
      <c r="Q104" s="6"/>
      <c r="R104" s="6">
        <v>21</v>
      </c>
      <c r="S104" s="7"/>
      <c r="T104" s="6"/>
      <c r="Y104" s="11"/>
      <c r="AB104" s="11"/>
      <c r="AD104" s="6"/>
      <c r="AE104" s="8" t="s">
        <v>962</v>
      </c>
    </row>
    <row r="105" spans="1:31" x14ac:dyDescent="0.25">
      <c r="A105" s="6" t="s">
        <v>85</v>
      </c>
      <c r="B105" s="6">
        <v>82</v>
      </c>
      <c r="C105" s="6">
        <v>2395</v>
      </c>
      <c r="D105" s="6">
        <v>90</v>
      </c>
      <c r="E105" s="6">
        <v>5</v>
      </c>
      <c r="F105" s="7">
        <f t="shared" si="7"/>
        <v>28.176470588235293</v>
      </c>
      <c r="G105" s="6">
        <v>49</v>
      </c>
      <c r="H105" s="6">
        <v>1268</v>
      </c>
      <c r="I105" s="7">
        <f t="shared" si="4"/>
        <v>25.877551020408163</v>
      </c>
      <c r="J105" s="6"/>
      <c r="K105" s="6"/>
      <c r="L105" s="6">
        <v>13</v>
      </c>
      <c r="M105" s="6">
        <v>275</v>
      </c>
      <c r="N105" s="6">
        <v>12</v>
      </c>
      <c r="O105" s="6">
        <v>1</v>
      </c>
      <c r="P105" s="7">
        <f t="shared" si="10"/>
        <v>25</v>
      </c>
      <c r="Q105" s="6">
        <v>8</v>
      </c>
      <c r="R105" s="6">
        <v>290</v>
      </c>
      <c r="S105" s="7">
        <f t="shared" si="11"/>
        <v>36.25</v>
      </c>
      <c r="T105" s="6"/>
      <c r="Y105" s="11"/>
      <c r="AB105" s="11"/>
      <c r="AD105" s="6"/>
      <c r="AE105" s="8" t="s">
        <v>86</v>
      </c>
    </row>
    <row r="106" spans="1:31" x14ac:dyDescent="0.25">
      <c r="A106" s="6" t="s">
        <v>1014</v>
      </c>
      <c r="B106" s="6">
        <v>1</v>
      </c>
      <c r="C106" s="6"/>
      <c r="D106" s="6"/>
      <c r="E106" s="6"/>
      <c r="F106" s="7"/>
      <c r="G106" s="6"/>
      <c r="H106" s="6">
        <v>34</v>
      </c>
      <c r="I106" s="7"/>
      <c r="J106" s="6"/>
      <c r="K106" s="6"/>
      <c r="L106" s="6"/>
      <c r="M106" s="6"/>
      <c r="N106" s="6"/>
      <c r="O106" s="6"/>
      <c r="P106" s="7"/>
      <c r="Q106" s="6"/>
      <c r="R106" s="6"/>
      <c r="S106" s="7"/>
      <c r="T106" s="6"/>
      <c r="Y106" s="11"/>
      <c r="AB106" s="11"/>
      <c r="AD106" s="6"/>
      <c r="AE106" s="8"/>
    </row>
    <row r="107" spans="1:31" x14ac:dyDescent="0.25">
      <c r="A107" s="6" t="s">
        <v>87</v>
      </c>
      <c r="B107" s="11">
        <v>390.5</v>
      </c>
      <c r="C107" s="6">
        <v>7051</v>
      </c>
      <c r="D107" s="6">
        <v>407</v>
      </c>
      <c r="E107" s="6">
        <v>37</v>
      </c>
      <c r="F107" s="7">
        <f t="shared" ref="F107" si="17">(C107/(D107-E107))</f>
        <v>19.056756756756755</v>
      </c>
      <c r="G107" s="6">
        <v>35</v>
      </c>
      <c r="H107" s="6">
        <v>971</v>
      </c>
      <c r="I107" s="7">
        <f t="shared" ref="I107:I188" si="18">(H107/G107)</f>
        <v>27.742857142857144</v>
      </c>
      <c r="J107" s="6"/>
      <c r="K107" s="6"/>
      <c r="L107" s="6">
        <v>3</v>
      </c>
      <c r="M107" s="6">
        <v>126</v>
      </c>
      <c r="N107" s="6">
        <v>3</v>
      </c>
      <c r="O107" s="6">
        <v>2</v>
      </c>
      <c r="P107" s="11">
        <f t="shared" si="10"/>
        <v>126</v>
      </c>
      <c r="Q107" s="6"/>
      <c r="R107" s="6">
        <v>19</v>
      </c>
      <c r="S107" s="7"/>
      <c r="T107" s="6"/>
      <c r="U107" s="13">
        <v>3</v>
      </c>
      <c r="V107" s="13">
        <v>2</v>
      </c>
      <c r="W107" s="13">
        <v>2</v>
      </c>
      <c r="Y107" s="11">
        <f t="shared" si="16"/>
        <v>1</v>
      </c>
      <c r="AB107" s="11"/>
      <c r="AD107" s="6"/>
      <c r="AE107" s="8" t="s">
        <v>1125</v>
      </c>
    </row>
    <row r="108" spans="1:31" x14ac:dyDescent="0.25">
      <c r="A108" s="6" t="s">
        <v>917</v>
      </c>
      <c r="B108" s="6">
        <v>6</v>
      </c>
      <c r="C108" s="6">
        <v>30</v>
      </c>
      <c r="D108" s="6">
        <v>5</v>
      </c>
      <c r="E108" s="6">
        <v>2</v>
      </c>
      <c r="F108" s="7">
        <f t="shared" ref="F108:F189" si="19">(C108/(D108-E108))</f>
        <v>10</v>
      </c>
      <c r="G108" s="6">
        <v>5</v>
      </c>
      <c r="H108" s="6">
        <v>168</v>
      </c>
      <c r="I108" s="7">
        <f t="shared" si="18"/>
        <v>33.6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11"/>
      <c r="Z108" s="6"/>
      <c r="AA108" s="6"/>
      <c r="AB108" s="6"/>
      <c r="AC108" s="6"/>
      <c r="AD108" s="6"/>
      <c r="AE108" s="6" t="s">
        <v>1015</v>
      </c>
    </row>
    <row r="109" spans="1:31" x14ac:dyDescent="0.25">
      <c r="A109" s="6" t="s">
        <v>88</v>
      </c>
      <c r="B109" s="6">
        <v>296</v>
      </c>
      <c r="C109" s="6">
        <v>2417</v>
      </c>
      <c r="D109" s="6">
        <v>238</v>
      </c>
      <c r="E109" s="6">
        <v>44</v>
      </c>
      <c r="F109" s="7">
        <f t="shared" si="19"/>
        <v>12.458762886597938</v>
      </c>
      <c r="G109" s="6">
        <v>533</v>
      </c>
      <c r="H109" s="6">
        <v>10600</v>
      </c>
      <c r="I109" s="7">
        <f t="shared" si="18"/>
        <v>19.887429643527206</v>
      </c>
      <c r="J109" s="6"/>
      <c r="K109" s="6"/>
      <c r="L109" s="6">
        <v>1</v>
      </c>
      <c r="M109" s="6">
        <v>50</v>
      </c>
      <c r="N109" s="6">
        <v>1</v>
      </c>
      <c r="O109" s="6"/>
      <c r="P109" s="7">
        <f t="shared" si="10"/>
        <v>50</v>
      </c>
      <c r="Q109" s="6">
        <v>3</v>
      </c>
      <c r="R109" s="6">
        <v>21</v>
      </c>
      <c r="S109" s="7">
        <f t="shared" si="11"/>
        <v>7</v>
      </c>
      <c r="T109" s="6"/>
      <c r="Y109" s="11"/>
      <c r="AB109" s="11"/>
      <c r="AD109" s="6"/>
      <c r="AE109" s="8" t="s">
        <v>1126</v>
      </c>
    </row>
    <row r="110" spans="1:31" x14ac:dyDescent="0.25">
      <c r="A110" s="6" t="s">
        <v>89</v>
      </c>
      <c r="B110" s="6">
        <v>111</v>
      </c>
      <c r="C110" s="6">
        <v>1420</v>
      </c>
      <c r="D110" s="6">
        <v>95</v>
      </c>
      <c r="E110" s="6">
        <v>21</v>
      </c>
      <c r="F110" s="7">
        <f t="shared" si="19"/>
        <v>19.189189189189189</v>
      </c>
      <c r="G110" s="6">
        <v>318</v>
      </c>
      <c r="H110" s="6">
        <v>5157</v>
      </c>
      <c r="I110" s="7">
        <f t="shared" si="18"/>
        <v>16.216981132075471</v>
      </c>
      <c r="J110" s="6"/>
      <c r="K110" s="6"/>
      <c r="L110" s="6"/>
      <c r="M110" s="6"/>
      <c r="N110" s="6"/>
      <c r="O110" s="6"/>
      <c r="P110" s="7"/>
      <c r="Q110" s="6"/>
      <c r="R110" s="6"/>
      <c r="S110" s="7"/>
      <c r="T110" s="6"/>
      <c r="Y110" s="11"/>
      <c r="AA110" s="6"/>
      <c r="AB110" s="11"/>
    </row>
    <row r="111" spans="1:31" x14ac:dyDescent="0.25">
      <c r="A111" s="6" t="s">
        <v>90</v>
      </c>
      <c r="B111" s="6">
        <v>133</v>
      </c>
      <c r="C111" s="6">
        <v>1589</v>
      </c>
      <c r="D111" s="6">
        <v>119</v>
      </c>
      <c r="E111" s="6">
        <v>12</v>
      </c>
      <c r="F111" s="7">
        <f t="shared" si="19"/>
        <v>14.850467289719626</v>
      </c>
      <c r="G111" s="6">
        <v>68</v>
      </c>
      <c r="H111" s="6">
        <v>1071</v>
      </c>
      <c r="I111" s="7">
        <f t="shared" si="18"/>
        <v>15.75</v>
      </c>
      <c r="J111" s="6"/>
      <c r="K111" s="6"/>
      <c r="L111" s="6"/>
      <c r="M111" s="6"/>
      <c r="N111" s="6"/>
      <c r="O111" s="6"/>
      <c r="P111" s="7"/>
      <c r="Q111" s="6"/>
      <c r="R111" s="6"/>
      <c r="S111" s="7"/>
      <c r="T111" s="6"/>
      <c r="Y111" s="11"/>
      <c r="AA111" s="6"/>
      <c r="AB111" s="11"/>
    </row>
    <row r="112" spans="1:31" x14ac:dyDescent="0.25">
      <c r="A112" s="6" t="s">
        <v>91</v>
      </c>
      <c r="B112" s="6">
        <v>1</v>
      </c>
      <c r="C112" s="6">
        <v>14</v>
      </c>
      <c r="D112" s="6">
        <v>1</v>
      </c>
      <c r="E112" s="6">
        <v>1</v>
      </c>
      <c r="F112" s="7"/>
      <c r="G112" s="6">
        <v>1</v>
      </c>
      <c r="H112" s="6">
        <v>69</v>
      </c>
      <c r="I112" s="7">
        <f t="shared" si="18"/>
        <v>69</v>
      </c>
      <c r="J112" s="6"/>
      <c r="K112" s="6"/>
      <c r="L112" s="6"/>
      <c r="M112" s="6"/>
      <c r="N112" s="6"/>
      <c r="O112" s="6"/>
      <c r="P112" s="7"/>
      <c r="Q112" s="6"/>
      <c r="R112" s="6"/>
      <c r="S112" s="7"/>
      <c r="T112" s="6"/>
      <c r="Y112" s="11"/>
      <c r="AA112" s="6"/>
      <c r="AB112" s="11"/>
    </row>
    <row r="113" spans="1:31" x14ac:dyDescent="0.25">
      <c r="A113" s="6" t="s">
        <v>92</v>
      </c>
      <c r="B113" s="6">
        <v>49</v>
      </c>
      <c r="C113" s="6">
        <v>832</v>
      </c>
      <c r="D113" s="6">
        <v>51</v>
      </c>
      <c r="E113" s="6">
        <v>1</v>
      </c>
      <c r="F113" s="7">
        <f t="shared" si="19"/>
        <v>16.64</v>
      </c>
      <c r="G113" s="6">
        <v>46</v>
      </c>
      <c r="H113" s="6">
        <v>1058</v>
      </c>
      <c r="I113" s="7">
        <f t="shared" si="18"/>
        <v>23</v>
      </c>
      <c r="J113" s="6"/>
      <c r="K113" s="6"/>
      <c r="L113" s="6"/>
      <c r="M113" s="6"/>
      <c r="N113" s="6"/>
      <c r="O113" s="6"/>
      <c r="P113" s="7"/>
      <c r="Q113" s="6"/>
      <c r="R113" s="6"/>
      <c r="S113" s="7"/>
      <c r="T113" s="6"/>
      <c r="Y113" s="11"/>
      <c r="AA113" s="6"/>
      <c r="AB113" s="11"/>
    </row>
    <row r="114" spans="1:31" x14ac:dyDescent="0.25">
      <c r="A114" s="6" t="s">
        <v>93</v>
      </c>
      <c r="B114" s="6">
        <v>2</v>
      </c>
      <c r="C114" s="6">
        <v>20</v>
      </c>
      <c r="D114" s="6">
        <v>3</v>
      </c>
      <c r="E114" s="6"/>
      <c r="F114" s="7">
        <f t="shared" si="19"/>
        <v>6.666666666666667</v>
      </c>
      <c r="G114" s="6"/>
      <c r="H114" s="6"/>
      <c r="I114" s="7"/>
      <c r="J114" s="6"/>
      <c r="K114" s="6"/>
      <c r="L114" s="6"/>
      <c r="M114" s="6"/>
      <c r="N114" s="6"/>
      <c r="O114" s="6"/>
      <c r="P114" s="7"/>
      <c r="Q114" s="6"/>
      <c r="R114" s="6"/>
      <c r="S114" s="7"/>
      <c r="T114" s="6"/>
      <c r="Y114" s="11"/>
      <c r="AA114" s="6"/>
      <c r="AB114" s="11"/>
    </row>
    <row r="115" spans="1:31" x14ac:dyDescent="0.25">
      <c r="A115" s="6" t="s">
        <v>719</v>
      </c>
      <c r="B115" s="6">
        <v>73.5</v>
      </c>
      <c r="C115" s="6">
        <v>1474</v>
      </c>
      <c r="D115" s="6">
        <v>65</v>
      </c>
      <c r="E115" s="6">
        <v>12</v>
      </c>
      <c r="F115" s="7">
        <f t="shared" si="19"/>
        <v>27.811320754716981</v>
      </c>
      <c r="G115" s="6">
        <v>49</v>
      </c>
      <c r="H115" s="6">
        <v>1087</v>
      </c>
      <c r="I115" s="7">
        <f t="shared" si="18"/>
        <v>22.183673469387756</v>
      </c>
      <c r="J115" s="6"/>
      <c r="K115" s="6"/>
      <c r="L115" s="6"/>
      <c r="M115" s="6"/>
      <c r="N115" s="6"/>
      <c r="O115" s="6"/>
      <c r="P115" s="7"/>
      <c r="Q115" s="6"/>
      <c r="R115" s="6"/>
      <c r="S115" s="7"/>
      <c r="T115" s="6"/>
      <c r="U115" s="6">
        <v>1</v>
      </c>
      <c r="V115" s="6">
        <v>22</v>
      </c>
      <c r="W115" s="6">
        <v>1</v>
      </c>
      <c r="Y115" s="11">
        <f t="shared" ref="Y115" si="20">(V115)/(W115-X115)</f>
        <v>22</v>
      </c>
      <c r="AA115" s="6"/>
      <c r="AB115" s="11"/>
      <c r="AE115" t="s">
        <v>918</v>
      </c>
    </row>
    <row r="116" spans="1:31" x14ac:dyDescent="0.25">
      <c r="A116" s="6" t="s">
        <v>809</v>
      </c>
      <c r="B116" s="6">
        <v>38</v>
      </c>
      <c r="C116" s="6">
        <v>403</v>
      </c>
      <c r="D116" s="6">
        <v>33</v>
      </c>
      <c r="E116" s="6">
        <v>7</v>
      </c>
      <c r="F116" s="7">
        <f t="shared" si="19"/>
        <v>15.5</v>
      </c>
      <c r="G116" s="6">
        <v>28</v>
      </c>
      <c r="H116" s="6">
        <v>1162</v>
      </c>
      <c r="I116" s="7">
        <f t="shared" si="18"/>
        <v>41.5</v>
      </c>
      <c r="J116" s="6"/>
      <c r="K116" s="6"/>
      <c r="L116" s="6"/>
      <c r="M116" s="6"/>
      <c r="N116" s="6"/>
      <c r="O116" s="6"/>
      <c r="P116" s="7"/>
      <c r="Q116" s="6"/>
      <c r="R116" s="6"/>
      <c r="S116" s="7"/>
      <c r="T116" s="6"/>
      <c r="Y116" s="11"/>
      <c r="AA116" s="6"/>
      <c r="AB116" s="11"/>
    </row>
    <row r="117" spans="1:31" x14ac:dyDescent="0.25">
      <c r="A117" s="6" t="s">
        <v>94</v>
      </c>
      <c r="B117" s="6">
        <v>53</v>
      </c>
      <c r="C117" s="6">
        <v>814</v>
      </c>
      <c r="D117" s="6">
        <v>59</v>
      </c>
      <c r="E117" s="6">
        <v>8</v>
      </c>
      <c r="F117" s="7">
        <f t="shared" si="19"/>
        <v>15.96078431372549</v>
      </c>
      <c r="G117" s="6">
        <v>67</v>
      </c>
      <c r="H117" s="6">
        <v>1828</v>
      </c>
      <c r="I117" s="7">
        <f t="shared" si="18"/>
        <v>27.28358208955224</v>
      </c>
      <c r="J117" s="6"/>
      <c r="K117" s="6"/>
      <c r="L117" s="6">
        <v>54</v>
      </c>
      <c r="M117" s="6">
        <v>396</v>
      </c>
      <c r="N117" s="6">
        <v>33</v>
      </c>
      <c r="O117" s="6">
        <v>4</v>
      </c>
      <c r="P117" s="7">
        <f t="shared" si="10"/>
        <v>13.655172413793103</v>
      </c>
      <c r="Q117" s="6">
        <v>53</v>
      </c>
      <c r="R117" s="6">
        <v>1454</v>
      </c>
      <c r="S117" s="7">
        <f t="shared" si="11"/>
        <v>27.433962264150942</v>
      </c>
      <c r="T117" s="6"/>
      <c r="Y117" s="11"/>
      <c r="AB117" s="11"/>
      <c r="AD117" s="6"/>
      <c r="AE117" s="8" t="s">
        <v>656</v>
      </c>
    </row>
    <row r="118" spans="1:31" x14ac:dyDescent="0.25">
      <c r="A118" s="6" t="s">
        <v>95</v>
      </c>
      <c r="B118" s="6">
        <v>38</v>
      </c>
      <c r="C118" s="6">
        <v>733</v>
      </c>
      <c r="D118" s="6">
        <v>48</v>
      </c>
      <c r="E118" s="6">
        <v>1</v>
      </c>
      <c r="F118" s="7">
        <f t="shared" si="19"/>
        <v>15.595744680851064</v>
      </c>
      <c r="G118" s="6">
        <v>1</v>
      </c>
      <c r="H118" s="6">
        <v>10</v>
      </c>
      <c r="I118" s="7">
        <f t="shared" si="18"/>
        <v>10</v>
      </c>
      <c r="J118" s="6"/>
      <c r="K118" s="6"/>
      <c r="L118" s="6"/>
      <c r="M118" s="6"/>
      <c r="N118" s="6"/>
      <c r="O118" s="6"/>
      <c r="P118" s="7"/>
      <c r="Q118" s="6"/>
      <c r="R118" s="6"/>
      <c r="S118" s="7"/>
      <c r="T118" s="6"/>
      <c r="Y118" s="11"/>
      <c r="AA118" s="6"/>
      <c r="AB118" s="11"/>
    </row>
    <row r="119" spans="1:31" x14ac:dyDescent="0.25">
      <c r="A119" s="6" t="s">
        <v>96</v>
      </c>
      <c r="B119" s="6">
        <v>6</v>
      </c>
      <c r="C119" s="6">
        <v>117</v>
      </c>
      <c r="D119" s="6">
        <v>8</v>
      </c>
      <c r="E119" s="6"/>
      <c r="F119" s="7">
        <f t="shared" si="19"/>
        <v>14.625</v>
      </c>
      <c r="G119" s="6">
        <v>10</v>
      </c>
      <c r="H119" s="6">
        <v>104</v>
      </c>
      <c r="I119" s="7">
        <f t="shared" si="18"/>
        <v>10.4</v>
      </c>
      <c r="J119" s="6"/>
      <c r="K119" s="6"/>
      <c r="L119" s="6"/>
      <c r="M119" s="6"/>
      <c r="N119" s="6"/>
      <c r="O119" s="6"/>
      <c r="P119" s="7"/>
      <c r="Q119" s="6"/>
      <c r="R119" s="6"/>
      <c r="S119" s="7"/>
      <c r="T119" s="6"/>
      <c r="Y119" s="11"/>
      <c r="AA119" s="6"/>
      <c r="AB119" s="11"/>
    </row>
    <row r="120" spans="1:31" x14ac:dyDescent="0.25">
      <c r="A120" s="6" t="s">
        <v>97</v>
      </c>
      <c r="B120" s="6">
        <v>7</v>
      </c>
      <c r="C120" s="6">
        <v>161</v>
      </c>
      <c r="D120" s="6">
        <v>7</v>
      </c>
      <c r="E120" s="6"/>
      <c r="F120" s="7">
        <f t="shared" si="19"/>
        <v>23</v>
      </c>
      <c r="G120" s="6"/>
      <c r="H120" s="6"/>
      <c r="I120" s="7"/>
      <c r="J120" s="6"/>
      <c r="K120" s="6"/>
      <c r="L120" s="6"/>
      <c r="M120" s="6"/>
      <c r="N120" s="6"/>
      <c r="O120" s="6"/>
      <c r="P120" s="7"/>
      <c r="Q120" s="6"/>
      <c r="R120" s="6"/>
      <c r="S120" s="7"/>
      <c r="T120" s="6"/>
      <c r="Y120" s="11"/>
      <c r="AA120" s="6"/>
      <c r="AB120" s="11"/>
    </row>
    <row r="121" spans="1:31" x14ac:dyDescent="0.25">
      <c r="A121" s="6" t="s">
        <v>98</v>
      </c>
      <c r="B121" s="11">
        <v>338</v>
      </c>
      <c r="C121" s="6">
        <v>3330</v>
      </c>
      <c r="D121" s="6">
        <v>275</v>
      </c>
      <c r="E121" s="6">
        <v>84</v>
      </c>
      <c r="F121" s="7">
        <f t="shared" si="19"/>
        <v>17.434554973821989</v>
      </c>
      <c r="G121" s="6">
        <v>408</v>
      </c>
      <c r="H121" s="6">
        <v>8784</v>
      </c>
      <c r="I121" s="7">
        <f t="shared" si="18"/>
        <v>21.529411764705884</v>
      </c>
      <c r="J121" s="6"/>
      <c r="K121" s="6"/>
      <c r="L121" s="6"/>
      <c r="M121" s="6"/>
      <c r="N121" s="6"/>
      <c r="O121" s="6"/>
      <c r="P121" s="7"/>
      <c r="Q121" s="6"/>
      <c r="R121" s="6"/>
      <c r="S121" s="7"/>
      <c r="T121" s="6"/>
      <c r="U121" s="13">
        <v>10</v>
      </c>
      <c r="V121" s="13">
        <v>31</v>
      </c>
      <c r="W121" s="13">
        <v>4</v>
      </c>
      <c r="X121" s="13">
        <v>1</v>
      </c>
      <c r="Y121" s="7">
        <f t="shared" ref="Y121" si="21">(V121)/(W121-X121)</f>
        <v>10.333333333333334</v>
      </c>
      <c r="Z121" s="13">
        <v>10</v>
      </c>
      <c r="AA121" s="22">
        <v>149</v>
      </c>
      <c r="AB121" s="11">
        <f t="shared" ref="AB121" si="22">AA121/Z121</f>
        <v>14.9</v>
      </c>
      <c r="AE121" s="8" t="s">
        <v>1127</v>
      </c>
    </row>
    <row r="122" spans="1:31" x14ac:dyDescent="0.25">
      <c r="A122" s="6" t="s">
        <v>99</v>
      </c>
      <c r="B122" s="6">
        <v>6</v>
      </c>
      <c r="C122" s="6">
        <v>34</v>
      </c>
      <c r="D122" s="6">
        <v>6</v>
      </c>
      <c r="E122" s="6"/>
      <c r="F122" s="7">
        <f t="shared" si="19"/>
        <v>5.666666666666667</v>
      </c>
      <c r="G122" s="6">
        <v>19</v>
      </c>
      <c r="H122" s="6">
        <v>159</v>
      </c>
      <c r="I122" s="7">
        <f t="shared" si="18"/>
        <v>8.3684210526315788</v>
      </c>
      <c r="J122" s="6"/>
      <c r="K122" s="6"/>
      <c r="L122" s="6">
        <v>1</v>
      </c>
      <c r="M122" s="6">
        <v>1</v>
      </c>
      <c r="N122" s="6">
        <v>1</v>
      </c>
      <c r="O122" s="6"/>
      <c r="P122" s="7">
        <f t="shared" ref="P122:P197" si="23">(M122/(N122-O122))</f>
        <v>1</v>
      </c>
      <c r="Q122" s="6"/>
      <c r="R122" s="6">
        <v>14</v>
      </c>
      <c r="S122" s="7"/>
      <c r="T122" s="6"/>
      <c r="Y122" s="7"/>
      <c r="AB122" s="11"/>
      <c r="AD122" s="6"/>
      <c r="AE122" s="8" t="s">
        <v>100</v>
      </c>
    </row>
    <row r="123" spans="1:31" x14ac:dyDescent="0.25">
      <c r="A123" s="6" t="s">
        <v>810</v>
      </c>
      <c r="B123" s="6">
        <v>1</v>
      </c>
      <c r="C123" s="6">
        <v>4</v>
      </c>
      <c r="D123" s="6">
        <v>1</v>
      </c>
      <c r="E123" s="6"/>
      <c r="F123" s="7">
        <f t="shared" si="19"/>
        <v>4</v>
      </c>
      <c r="G123" s="6"/>
      <c r="H123" s="6"/>
      <c r="I123" s="7"/>
      <c r="J123" s="6"/>
      <c r="K123" s="6"/>
      <c r="L123" s="6"/>
      <c r="M123" s="6"/>
      <c r="N123" s="6"/>
      <c r="O123" s="6"/>
      <c r="P123" s="7"/>
      <c r="Q123" s="6"/>
      <c r="R123" s="6"/>
      <c r="S123" s="7"/>
      <c r="T123" s="6"/>
      <c r="Y123" s="7"/>
      <c r="AB123" s="11"/>
      <c r="AD123" s="6"/>
      <c r="AE123" s="8" t="s">
        <v>23</v>
      </c>
    </row>
    <row r="124" spans="1:31" x14ac:dyDescent="0.25">
      <c r="A124" s="6" t="s">
        <v>101</v>
      </c>
      <c r="B124" s="6">
        <v>29</v>
      </c>
      <c r="C124" s="6">
        <v>462</v>
      </c>
      <c r="D124" s="6">
        <v>31</v>
      </c>
      <c r="E124" s="6">
        <v>2</v>
      </c>
      <c r="F124" s="7">
        <f t="shared" si="19"/>
        <v>15.931034482758621</v>
      </c>
      <c r="G124" s="6">
        <v>7</v>
      </c>
      <c r="H124" s="6">
        <v>153</v>
      </c>
      <c r="I124" s="7">
        <f t="shared" si="18"/>
        <v>21.857142857142858</v>
      </c>
      <c r="J124" s="6"/>
      <c r="K124" s="6"/>
      <c r="L124" s="6"/>
      <c r="M124" s="6"/>
      <c r="N124" s="6"/>
      <c r="O124" s="6"/>
      <c r="P124" s="7"/>
      <c r="Q124" s="6"/>
      <c r="R124" s="6"/>
      <c r="S124" s="7"/>
      <c r="T124" s="6"/>
      <c r="Y124" s="7"/>
      <c r="AA124" s="6"/>
      <c r="AB124" s="11"/>
    </row>
    <row r="125" spans="1:31" x14ac:dyDescent="0.25">
      <c r="A125" s="6" t="s">
        <v>102</v>
      </c>
      <c r="B125" s="6">
        <v>4</v>
      </c>
      <c r="C125" s="6">
        <v>43</v>
      </c>
      <c r="D125" s="6">
        <v>4</v>
      </c>
      <c r="E125" s="6"/>
      <c r="F125" s="7">
        <f t="shared" si="19"/>
        <v>10.75</v>
      </c>
      <c r="G125" s="6">
        <v>4</v>
      </c>
      <c r="H125" s="6">
        <v>51</v>
      </c>
      <c r="I125" s="7">
        <f t="shared" si="18"/>
        <v>12.75</v>
      </c>
      <c r="J125" s="6"/>
      <c r="K125" s="6"/>
      <c r="L125" s="6"/>
      <c r="M125" s="6"/>
      <c r="N125" s="6"/>
      <c r="O125" s="6"/>
      <c r="P125" s="7"/>
      <c r="Q125" s="6"/>
      <c r="R125" s="6"/>
      <c r="S125" s="7"/>
      <c r="T125" s="6"/>
      <c r="Y125" s="7"/>
      <c r="AA125" s="6"/>
      <c r="AB125" s="11"/>
    </row>
    <row r="126" spans="1:31" x14ac:dyDescent="0.25">
      <c r="A126" s="6" t="s">
        <v>103</v>
      </c>
      <c r="B126" s="6">
        <v>39</v>
      </c>
      <c r="C126" s="6">
        <v>202</v>
      </c>
      <c r="D126" s="6">
        <v>23</v>
      </c>
      <c r="E126" s="6">
        <v>10</v>
      </c>
      <c r="F126" s="7">
        <f t="shared" si="19"/>
        <v>15.538461538461538</v>
      </c>
      <c r="G126" s="6">
        <v>59</v>
      </c>
      <c r="H126" s="6">
        <v>935</v>
      </c>
      <c r="I126" s="7">
        <f t="shared" si="18"/>
        <v>15.847457627118644</v>
      </c>
      <c r="J126" s="6"/>
      <c r="K126" s="6"/>
      <c r="L126" s="6"/>
      <c r="M126" s="6"/>
      <c r="N126" s="6"/>
      <c r="O126" s="6"/>
      <c r="P126" s="7"/>
      <c r="Q126" s="6"/>
      <c r="R126" s="6"/>
      <c r="S126" s="7"/>
      <c r="T126" s="6"/>
      <c r="Y126" s="7"/>
      <c r="AA126" s="6"/>
      <c r="AB126" s="11"/>
    </row>
    <row r="127" spans="1:31" x14ac:dyDescent="0.25">
      <c r="A127" s="6" t="s">
        <v>104</v>
      </c>
      <c r="B127" s="14">
        <v>304</v>
      </c>
      <c r="C127" s="6">
        <v>7636</v>
      </c>
      <c r="D127" s="6">
        <v>324</v>
      </c>
      <c r="E127" s="6">
        <v>30</v>
      </c>
      <c r="F127" s="7">
        <f t="shared" si="19"/>
        <v>25.972789115646258</v>
      </c>
      <c r="G127" s="6"/>
      <c r="H127" s="6">
        <v>15</v>
      </c>
      <c r="I127" s="7"/>
      <c r="J127" s="6"/>
      <c r="K127" s="6"/>
      <c r="L127" s="6">
        <v>3</v>
      </c>
      <c r="M127" s="6">
        <v>95</v>
      </c>
      <c r="N127" s="6">
        <v>3</v>
      </c>
      <c r="O127" s="6"/>
      <c r="P127" s="7">
        <f t="shared" si="23"/>
        <v>31.666666666666668</v>
      </c>
      <c r="Q127" s="6"/>
      <c r="R127" s="6"/>
      <c r="S127" s="7"/>
      <c r="T127" s="6"/>
      <c r="U127" s="6">
        <v>4</v>
      </c>
      <c r="V127" s="6">
        <v>30</v>
      </c>
      <c r="W127" s="6">
        <v>3</v>
      </c>
      <c r="X127" s="6"/>
      <c r="Y127" s="7">
        <f t="shared" ref="Y127:Y172" si="24">(V127)/(W127-X127)</f>
        <v>10</v>
      </c>
      <c r="AB127" s="11"/>
      <c r="AD127" s="14"/>
      <c r="AE127" s="8" t="s">
        <v>933</v>
      </c>
    </row>
    <row r="128" spans="1:31" x14ac:dyDescent="0.25">
      <c r="A128" s="6" t="s">
        <v>105</v>
      </c>
      <c r="B128" s="6">
        <v>2</v>
      </c>
      <c r="C128" s="6">
        <v>25</v>
      </c>
      <c r="D128" s="6">
        <v>4</v>
      </c>
      <c r="E128" s="6"/>
      <c r="F128" s="7">
        <f t="shared" si="19"/>
        <v>6.25</v>
      </c>
      <c r="G128" s="6"/>
      <c r="H128" s="6"/>
      <c r="I128" s="7"/>
      <c r="J128" s="6"/>
      <c r="K128" s="6"/>
      <c r="L128" s="6"/>
      <c r="M128" s="6"/>
      <c r="N128" s="6"/>
      <c r="O128" s="6"/>
      <c r="P128" s="7"/>
      <c r="Q128" s="6"/>
      <c r="R128" s="6"/>
      <c r="S128" s="7"/>
      <c r="T128" s="6"/>
      <c r="Y128" s="11"/>
      <c r="AA128" s="6"/>
      <c r="AB128" s="11"/>
    </row>
    <row r="129" spans="1:31" x14ac:dyDescent="0.25">
      <c r="A129" s="6" t="s">
        <v>106</v>
      </c>
      <c r="B129" s="6">
        <v>2</v>
      </c>
      <c r="C129" s="6">
        <v>8</v>
      </c>
      <c r="D129" s="6">
        <v>2</v>
      </c>
      <c r="E129" s="6"/>
      <c r="F129" s="7">
        <f t="shared" si="19"/>
        <v>4</v>
      </c>
      <c r="G129" s="6"/>
      <c r="H129" s="6"/>
      <c r="I129" s="7"/>
      <c r="J129" s="6"/>
      <c r="K129" s="6"/>
      <c r="L129" s="6"/>
      <c r="M129" s="6"/>
      <c r="N129" s="6"/>
      <c r="O129" s="6"/>
      <c r="P129" s="7"/>
      <c r="Q129" s="6"/>
      <c r="R129" s="6"/>
      <c r="S129" s="7"/>
      <c r="T129" s="6"/>
      <c r="Y129" s="11"/>
      <c r="AA129" s="6"/>
      <c r="AB129" s="11"/>
    </row>
    <row r="130" spans="1:31" x14ac:dyDescent="0.25">
      <c r="A130" s="6" t="s">
        <v>621</v>
      </c>
      <c r="B130" s="6">
        <v>25</v>
      </c>
      <c r="C130" s="6">
        <v>94</v>
      </c>
      <c r="D130" s="6">
        <v>24</v>
      </c>
      <c r="E130" s="6">
        <v>3</v>
      </c>
      <c r="F130" s="7">
        <f>(C130/(D130-E130))</f>
        <v>4.4761904761904763</v>
      </c>
      <c r="G130" s="6">
        <v>9</v>
      </c>
      <c r="H130" s="6">
        <v>259</v>
      </c>
      <c r="I130" s="7">
        <f>(H130/G130)</f>
        <v>28.777777777777779</v>
      </c>
      <c r="J130" s="6"/>
      <c r="K130" s="6"/>
      <c r="L130" s="6"/>
      <c r="M130" s="6"/>
      <c r="N130" s="6"/>
      <c r="O130" s="6"/>
      <c r="P130" s="7"/>
      <c r="Q130" s="6"/>
      <c r="R130" s="6"/>
      <c r="S130" s="7"/>
      <c r="T130" s="6"/>
      <c r="Y130" s="11"/>
      <c r="AA130" s="6"/>
      <c r="AB130" s="11"/>
    </row>
    <row r="131" spans="1:31" x14ac:dyDescent="0.25">
      <c r="A131" s="6" t="s">
        <v>811</v>
      </c>
      <c r="B131" s="6">
        <v>2</v>
      </c>
      <c r="C131" s="6">
        <v>28</v>
      </c>
      <c r="D131" s="6">
        <v>2</v>
      </c>
      <c r="E131" s="6"/>
      <c r="F131" s="7">
        <f>(C131/(D131-E131))</f>
        <v>14</v>
      </c>
      <c r="G131" s="6"/>
      <c r="H131" s="6"/>
      <c r="I131" s="7"/>
      <c r="J131" s="6"/>
      <c r="K131" s="6"/>
      <c r="L131" s="6">
        <v>2</v>
      </c>
      <c r="M131" s="6">
        <v>28</v>
      </c>
      <c r="N131" s="6">
        <v>2</v>
      </c>
      <c r="O131" s="6"/>
      <c r="P131" s="7">
        <f t="shared" si="23"/>
        <v>14</v>
      </c>
      <c r="Q131" s="6"/>
      <c r="R131" s="6"/>
      <c r="S131" s="7"/>
      <c r="T131" s="6"/>
      <c r="Y131" s="11"/>
      <c r="AA131" s="6"/>
      <c r="AB131" s="11"/>
      <c r="AE131" s="8" t="s">
        <v>41</v>
      </c>
    </row>
    <row r="132" spans="1:31" x14ac:dyDescent="0.25">
      <c r="A132" s="6" t="s">
        <v>108</v>
      </c>
      <c r="B132" s="6">
        <v>1</v>
      </c>
      <c r="C132" s="6">
        <v>2</v>
      </c>
      <c r="D132" s="6">
        <v>2</v>
      </c>
      <c r="E132" s="6"/>
      <c r="F132" s="7">
        <f>(C132/(D132-E132))</f>
        <v>1</v>
      </c>
      <c r="G132" s="6"/>
      <c r="H132" s="6">
        <v>4</v>
      </c>
      <c r="I132" s="7"/>
      <c r="J132" s="6"/>
      <c r="K132" s="6"/>
      <c r="L132" s="6"/>
      <c r="M132" s="6"/>
      <c r="N132" s="6"/>
      <c r="O132" s="6"/>
      <c r="P132" s="7"/>
      <c r="Q132" s="6"/>
      <c r="R132" s="6"/>
      <c r="S132" s="7"/>
      <c r="T132" s="6"/>
      <c r="Y132" s="11"/>
      <c r="AA132" s="6"/>
      <c r="AB132" s="11"/>
    </row>
    <row r="133" spans="1:31" x14ac:dyDescent="0.25">
      <c r="A133" s="6" t="s">
        <v>107</v>
      </c>
      <c r="B133" s="6">
        <v>1</v>
      </c>
      <c r="C133" s="6">
        <v>14</v>
      </c>
      <c r="D133" s="6">
        <v>1</v>
      </c>
      <c r="E133" s="6"/>
      <c r="F133" s="7">
        <f t="shared" si="19"/>
        <v>14</v>
      </c>
      <c r="G133" s="6"/>
      <c r="H133" s="6"/>
      <c r="I133" s="7"/>
      <c r="J133" s="6"/>
      <c r="K133" s="6"/>
      <c r="L133" s="6"/>
      <c r="M133" s="6"/>
      <c r="N133" s="6"/>
      <c r="O133" s="6"/>
      <c r="P133" s="7"/>
      <c r="Q133" s="6"/>
      <c r="R133" s="6"/>
      <c r="S133" s="7"/>
      <c r="T133" s="6"/>
      <c r="Y133" s="11"/>
      <c r="AA133" s="6"/>
      <c r="AB133" s="11"/>
    </row>
    <row r="134" spans="1:31" x14ac:dyDescent="0.25">
      <c r="A134" s="6" t="s">
        <v>109</v>
      </c>
      <c r="B134" s="6">
        <v>44</v>
      </c>
      <c r="C134" s="6">
        <v>596</v>
      </c>
      <c r="D134" s="6">
        <v>40</v>
      </c>
      <c r="E134" s="6">
        <v>4</v>
      </c>
      <c r="F134" s="7">
        <f t="shared" si="19"/>
        <v>16.555555555555557</v>
      </c>
      <c r="G134" s="6">
        <v>57</v>
      </c>
      <c r="H134" s="6">
        <v>973</v>
      </c>
      <c r="I134" s="7">
        <f t="shared" si="18"/>
        <v>17.07017543859649</v>
      </c>
      <c r="J134" s="6"/>
      <c r="K134" s="6"/>
      <c r="L134" s="6"/>
      <c r="M134" s="6"/>
      <c r="N134" s="6"/>
      <c r="O134" s="6"/>
      <c r="P134" s="7"/>
      <c r="Q134" s="6"/>
      <c r="R134" s="6"/>
      <c r="S134" s="7"/>
      <c r="T134" s="6"/>
      <c r="Y134" s="11"/>
      <c r="AA134" s="6"/>
      <c r="AB134" s="11"/>
    </row>
    <row r="135" spans="1:31" x14ac:dyDescent="0.25">
      <c r="A135" s="6" t="s">
        <v>110</v>
      </c>
      <c r="B135" s="6">
        <v>50</v>
      </c>
      <c r="C135" s="6">
        <v>757</v>
      </c>
      <c r="D135" s="6">
        <v>30</v>
      </c>
      <c r="E135" s="6">
        <v>6</v>
      </c>
      <c r="F135" s="7">
        <f t="shared" si="19"/>
        <v>31.541666666666668</v>
      </c>
      <c r="G135" s="6">
        <v>21</v>
      </c>
      <c r="H135" s="6">
        <v>531</v>
      </c>
      <c r="I135" s="7">
        <f t="shared" si="18"/>
        <v>25.285714285714285</v>
      </c>
      <c r="J135" s="6"/>
      <c r="K135" s="6"/>
      <c r="L135" s="6"/>
      <c r="M135" s="6"/>
      <c r="N135" s="6"/>
      <c r="O135" s="6"/>
      <c r="P135" s="7"/>
      <c r="Q135" s="6"/>
      <c r="R135" s="6"/>
      <c r="S135" s="7"/>
      <c r="T135" s="6"/>
      <c r="Y135" s="11"/>
      <c r="AA135" s="6"/>
      <c r="AB135" s="11"/>
    </row>
    <row r="136" spans="1:31" x14ac:dyDescent="0.25">
      <c r="A136" s="6" t="s">
        <v>111</v>
      </c>
      <c r="B136" s="6">
        <v>7</v>
      </c>
      <c r="C136" s="6">
        <v>7</v>
      </c>
      <c r="D136" s="6">
        <v>5</v>
      </c>
      <c r="E136" s="6">
        <v>1</v>
      </c>
      <c r="F136" s="7">
        <f t="shared" si="19"/>
        <v>1.75</v>
      </c>
      <c r="G136" s="6"/>
      <c r="H136" s="6">
        <v>16</v>
      </c>
      <c r="I136" s="7"/>
      <c r="J136" s="6"/>
      <c r="K136" s="6"/>
      <c r="L136" s="6"/>
      <c r="M136" s="6"/>
      <c r="N136" s="6"/>
      <c r="O136" s="6"/>
      <c r="P136" s="7"/>
      <c r="Q136" s="6"/>
      <c r="R136" s="6"/>
      <c r="S136" s="7"/>
      <c r="T136" s="6"/>
      <c r="Y136" s="11"/>
      <c r="AA136" s="6"/>
      <c r="AB136" s="11"/>
    </row>
    <row r="137" spans="1:31" x14ac:dyDescent="0.25">
      <c r="A137" s="6" t="s">
        <v>720</v>
      </c>
      <c r="B137" s="6">
        <v>11.5</v>
      </c>
      <c r="C137" s="6">
        <v>134</v>
      </c>
      <c r="D137" s="6">
        <v>14</v>
      </c>
      <c r="E137" s="6">
        <v>3</v>
      </c>
      <c r="F137" s="7">
        <f t="shared" si="19"/>
        <v>12.181818181818182</v>
      </c>
      <c r="G137" s="6">
        <v>1</v>
      </c>
      <c r="H137" s="6">
        <v>61</v>
      </c>
      <c r="I137" s="7">
        <f t="shared" si="18"/>
        <v>61</v>
      </c>
      <c r="J137" s="6"/>
      <c r="K137" s="6"/>
      <c r="L137" s="6">
        <v>10</v>
      </c>
      <c r="M137" s="6">
        <v>84</v>
      </c>
      <c r="N137" s="6">
        <v>10</v>
      </c>
      <c r="O137" s="6">
        <v>2</v>
      </c>
      <c r="P137" s="7">
        <f t="shared" si="23"/>
        <v>10.5</v>
      </c>
      <c r="Q137" s="6">
        <v>1</v>
      </c>
      <c r="R137" s="6">
        <v>61</v>
      </c>
      <c r="S137" s="7">
        <f t="shared" ref="S137" si="25">(R137/Q137)</f>
        <v>61</v>
      </c>
      <c r="T137" s="6"/>
      <c r="Y137" s="11"/>
      <c r="AB137" s="11"/>
      <c r="AD137" s="6"/>
      <c r="AE137" s="8" t="s">
        <v>812</v>
      </c>
    </row>
    <row r="138" spans="1:31" x14ac:dyDescent="0.25">
      <c r="A138" s="6" t="s">
        <v>1086</v>
      </c>
      <c r="B138" s="6">
        <v>1</v>
      </c>
      <c r="C138" s="6"/>
      <c r="D138" s="6">
        <v>1</v>
      </c>
      <c r="E138" s="6">
        <v>1</v>
      </c>
      <c r="F138" s="7"/>
      <c r="G138" s="6"/>
      <c r="H138" s="6"/>
      <c r="I138" s="7"/>
      <c r="J138" s="6"/>
      <c r="K138" s="6"/>
      <c r="L138" s="6"/>
      <c r="M138" s="6"/>
      <c r="N138" s="6"/>
      <c r="O138" s="6"/>
      <c r="P138" s="7"/>
      <c r="Q138" s="6"/>
      <c r="R138" s="6"/>
      <c r="S138" s="7"/>
      <c r="T138" s="6"/>
      <c r="Y138" s="11"/>
      <c r="AB138" s="11"/>
      <c r="AD138" s="6"/>
      <c r="AE138" s="8" t="s">
        <v>1028</v>
      </c>
    </row>
    <row r="139" spans="1:31" x14ac:dyDescent="0.25">
      <c r="A139" s="6" t="s">
        <v>112</v>
      </c>
      <c r="B139" s="6">
        <v>1</v>
      </c>
      <c r="C139" s="6">
        <v>3</v>
      </c>
      <c r="D139" s="6">
        <v>2</v>
      </c>
      <c r="E139" s="6"/>
      <c r="F139" s="7">
        <f t="shared" si="19"/>
        <v>1.5</v>
      </c>
      <c r="G139" s="6"/>
      <c r="H139" s="6">
        <v>7</v>
      </c>
      <c r="I139" s="7"/>
      <c r="J139" s="6"/>
      <c r="K139" s="6"/>
      <c r="L139" s="6"/>
      <c r="M139" s="6"/>
      <c r="N139" s="6"/>
      <c r="O139" s="6"/>
      <c r="P139" s="7"/>
      <c r="Q139" s="6"/>
      <c r="R139" s="6"/>
      <c r="S139" s="7"/>
      <c r="T139" s="6"/>
      <c r="Y139" s="11"/>
      <c r="AA139" s="6"/>
      <c r="AB139" s="11"/>
    </row>
    <row r="140" spans="1:31" x14ac:dyDescent="0.25">
      <c r="A140" s="6" t="s">
        <v>113</v>
      </c>
      <c r="B140" s="6">
        <v>2</v>
      </c>
      <c r="C140" s="6">
        <v>19</v>
      </c>
      <c r="D140" s="6">
        <v>3</v>
      </c>
      <c r="E140" s="6"/>
      <c r="F140" s="7">
        <f t="shared" si="19"/>
        <v>6.333333333333333</v>
      </c>
      <c r="G140" s="6">
        <v>3</v>
      </c>
      <c r="H140" s="6">
        <v>61</v>
      </c>
      <c r="I140" s="7">
        <f t="shared" si="18"/>
        <v>20.333333333333332</v>
      </c>
      <c r="J140" s="6"/>
      <c r="K140" s="6"/>
      <c r="L140" s="6"/>
      <c r="M140" s="6"/>
      <c r="N140" s="6"/>
      <c r="O140" s="6"/>
      <c r="P140" s="7"/>
      <c r="Q140" s="6"/>
      <c r="R140" s="6"/>
      <c r="S140" s="7"/>
      <c r="T140" s="6"/>
      <c r="Y140" s="11"/>
      <c r="AA140" s="6"/>
      <c r="AB140" s="11"/>
    </row>
    <row r="141" spans="1:31" x14ac:dyDescent="0.25">
      <c r="A141" s="6" t="s">
        <v>637</v>
      </c>
      <c r="B141" s="11">
        <v>5.5</v>
      </c>
      <c r="C141" s="6">
        <v>51</v>
      </c>
      <c r="D141" s="6">
        <v>5</v>
      </c>
      <c r="E141" s="6">
        <v>1</v>
      </c>
      <c r="F141" s="7">
        <f t="shared" si="19"/>
        <v>12.75</v>
      </c>
      <c r="G141" s="11">
        <v>5.5</v>
      </c>
      <c r="H141" s="6">
        <v>117</v>
      </c>
      <c r="I141" s="7">
        <f t="shared" si="18"/>
        <v>21.272727272727273</v>
      </c>
      <c r="J141" s="6"/>
      <c r="K141" s="6"/>
      <c r="L141" s="6"/>
      <c r="M141" s="6"/>
      <c r="N141" s="6"/>
      <c r="O141" s="6"/>
      <c r="P141" s="7"/>
      <c r="Q141" s="6"/>
      <c r="R141" s="6"/>
      <c r="S141" s="7"/>
      <c r="T141" s="6"/>
      <c r="Y141" s="11"/>
      <c r="AA141" s="6"/>
      <c r="AB141" s="11"/>
      <c r="AE141" s="8" t="s">
        <v>934</v>
      </c>
    </row>
    <row r="142" spans="1:31" x14ac:dyDescent="0.25">
      <c r="A142" s="6" t="s">
        <v>682</v>
      </c>
      <c r="B142" s="6">
        <v>1</v>
      </c>
      <c r="C142" s="6">
        <v>9</v>
      </c>
      <c r="D142" s="6">
        <v>1</v>
      </c>
      <c r="E142" s="6"/>
      <c r="F142" s="7">
        <f t="shared" si="19"/>
        <v>9</v>
      </c>
      <c r="G142" s="6"/>
      <c r="H142" s="6"/>
      <c r="I142" s="7"/>
      <c r="J142" s="6"/>
      <c r="K142" s="6"/>
      <c r="L142" s="6">
        <v>1</v>
      </c>
      <c r="M142" s="6">
        <v>9</v>
      </c>
      <c r="N142" s="6">
        <v>1</v>
      </c>
      <c r="O142" s="6"/>
      <c r="P142" s="7">
        <f t="shared" si="23"/>
        <v>9</v>
      </c>
      <c r="Q142" s="6"/>
      <c r="R142" s="6"/>
      <c r="S142" s="7"/>
      <c r="T142" s="6"/>
      <c r="Y142" s="11"/>
      <c r="AA142" s="6"/>
      <c r="AB142" s="11"/>
    </row>
    <row r="143" spans="1:31" x14ac:dyDescent="0.25">
      <c r="A143" s="6" t="s">
        <v>849</v>
      </c>
      <c r="B143" s="6">
        <v>6</v>
      </c>
      <c r="C143" s="6">
        <v>31</v>
      </c>
      <c r="D143" s="6">
        <v>2</v>
      </c>
      <c r="E143" s="6">
        <v>2</v>
      </c>
      <c r="F143" s="7"/>
      <c r="G143" s="6">
        <v>1</v>
      </c>
      <c r="H143" s="6">
        <v>172</v>
      </c>
      <c r="I143" s="7"/>
      <c r="J143" s="6"/>
      <c r="K143" s="6"/>
      <c r="L143" s="6"/>
      <c r="M143" s="6"/>
      <c r="N143" s="6"/>
      <c r="O143" s="6"/>
      <c r="P143" s="7"/>
      <c r="Q143" s="6"/>
      <c r="R143" s="6"/>
      <c r="S143" s="7"/>
      <c r="T143" s="6"/>
      <c r="Y143" s="11"/>
      <c r="AA143" s="6"/>
      <c r="AB143" s="11"/>
    </row>
    <row r="144" spans="1:31" x14ac:dyDescent="0.25">
      <c r="A144" s="6" t="s">
        <v>114</v>
      </c>
      <c r="B144" s="14">
        <v>240</v>
      </c>
      <c r="C144" s="6">
        <v>3713</v>
      </c>
      <c r="D144" s="6">
        <v>235</v>
      </c>
      <c r="E144" s="6">
        <v>33</v>
      </c>
      <c r="F144" s="7">
        <v>269</v>
      </c>
      <c r="G144" s="6">
        <v>339</v>
      </c>
      <c r="H144" s="6">
        <v>7727</v>
      </c>
      <c r="I144" s="7">
        <f t="shared" si="18"/>
        <v>22.793510324483776</v>
      </c>
      <c r="J144" s="6"/>
      <c r="K144" s="6"/>
      <c r="L144" s="6">
        <v>8</v>
      </c>
      <c r="M144" s="6">
        <v>97</v>
      </c>
      <c r="N144" s="6">
        <v>5</v>
      </c>
      <c r="O144" s="6">
        <v>1</v>
      </c>
      <c r="P144" s="7">
        <f t="shared" si="23"/>
        <v>24.25</v>
      </c>
      <c r="Q144" s="6">
        <v>12</v>
      </c>
      <c r="R144" s="6">
        <v>146</v>
      </c>
      <c r="S144" s="7">
        <f t="shared" ref="S144:S214" si="26">(R144/Q144)</f>
        <v>12.166666666666666</v>
      </c>
      <c r="T144" s="6"/>
      <c r="U144" s="6">
        <v>48</v>
      </c>
      <c r="V144" s="6">
        <v>786</v>
      </c>
      <c r="W144" s="6">
        <v>41</v>
      </c>
      <c r="X144" s="6">
        <v>7</v>
      </c>
      <c r="Y144" s="7">
        <f t="shared" si="24"/>
        <v>23.117647058823529</v>
      </c>
      <c r="Z144" s="6">
        <v>42</v>
      </c>
      <c r="AA144" s="6">
        <v>982</v>
      </c>
      <c r="AB144" s="11">
        <f t="shared" ref="AB144:AB211" si="27">AA144/Z144</f>
        <v>23.38095238095238</v>
      </c>
      <c r="AD144" s="6"/>
      <c r="AE144" s="8" t="s">
        <v>1087</v>
      </c>
    </row>
    <row r="145" spans="1:31" x14ac:dyDescent="0.25">
      <c r="A145" s="6" t="s">
        <v>683</v>
      </c>
      <c r="B145" s="6">
        <v>84</v>
      </c>
      <c r="C145" s="6">
        <v>1284</v>
      </c>
      <c r="D145" s="6">
        <v>87</v>
      </c>
      <c r="E145" s="6">
        <v>25</v>
      </c>
      <c r="F145" s="7">
        <f t="shared" si="19"/>
        <v>20.70967741935484</v>
      </c>
      <c r="G145" s="6">
        <v>71</v>
      </c>
      <c r="H145" s="6">
        <v>1704</v>
      </c>
      <c r="I145" s="7">
        <f t="shared" si="18"/>
        <v>24</v>
      </c>
      <c r="J145" s="6"/>
      <c r="K145" s="6"/>
      <c r="L145" s="6"/>
      <c r="M145" s="6"/>
      <c r="N145" s="6"/>
      <c r="O145" s="6"/>
      <c r="P145" s="7"/>
      <c r="Q145" s="6"/>
      <c r="R145" s="6"/>
      <c r="S145" s="7"/>
      <c r="T145" s="6"/>
      <c r="U145" s="13">
        <v>22</v>
      </c>
      <c r="V145" s="13">
        <v>263</v>
      </c>
      <c r="W145" s="13">
        <v>19</v>
      </c>
      <c r="X145" s="13">
        <v>5</v>
      </c>
      <c r="Y145" s="7">
        <f t="shared" si="24"/>
        <v>18.785714285714285</v>
      </c>
      <c r="Z145" s="13">
        <v>11</v>
      </c>
      <c r="AA145" s="6">
        <v>470</v>
      </c>
      <c r="AB145" s="11">
        <f t="shared" si="27"/>
        <v>42.727272727272727</v>
      </c>
      <c r="AE145" s="8" t="s">
        <v>1088</v>
      </c>
    </row>
    <row r="146" spans="1:31" x14ac:dyDescent="0.25">
      <c r="A146" s="6" t="s">
        <v>115</v>
      </c>
      <c r="B146" s="6">
        <v>5</v>
      </c>
      <c r="C146" s="6">
        <v>11</v>
      </c>
      <c r="D146" s="6">
        <v>5</v>
      </c>
      <c r="E146" s="6"/>
      <c r="F146" s="7">
        <f t="shared" si="19"/>
        <v>2.2000000000000002</v>
      </c>
      <c r="G146" s="6">
        <v>19</v>
      </c>
      <c r="H146" s="6">
        <v>176</v>
      </c>
      <c r="I146" s="7">
        <f t="shared" si="18"/>
        <v>9.2631578947368425</v>
      </c>
      <c r="J146" s="6"/>
      <c r="K146" s="6"/>
      <c r="L146" s="6">
        <v>8</v>
      </c>
      <c r="M146" s="6">
        <v>11</v>
      </c>
      <c r="N146" s="6">
        <v>5</v>
      </c>
      <c r="O146" s="6"/>
      <c r="P146" s="7">
        <f t="shared" si="23"/>
        <v>2.2000000000000002</v>
      </c>
      <c r="Q146" s="6">
        <v>19</v>
      </c>
      <c r="R146" s="6">
        <v>176</v>
      </c>
      <c r="S146" s="7">
        <f t="shared" si="26"/>
        <v>9.2631578947368425</v>
      </c>
      <c r="T146" s="6"/>
      <c r="Y146" s="7"/>
      <c r="AB146" s="11"/>
      <c r="AD146" s="6"/>
      <c r="AE146" s="8" t="s">
        <v>116</v>
      </c>
    </row>
    <row r="147" spans="1:31" x14ac:dyDescent="0.25">
      <c r="A147" s="6" t="s">
        <v>963</v>
      </c>
      <c r="B147" s="6">
        <v>0.5</v>
      </c>
      <c r="C147" s="6">
        <v>1</v>
      </c>
      <c r="D147" s="6">
        <v>1</v>
      </c>
      <c r="E147" s="6"/>
      <c r="F147" s="7">
        <f t="shared" si="19"/>
        <v>1</v>
      </c>
      <c r="G147" s="6">
        <v>3</v>
      </c>
      <c r="H147" s="6">
        <v>14</v>
      </c>
      <c r="I147" s="7">
        <f t="shared" si="18"/>
        <v>4.666666666666667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>
        <v>1</v>
      </c>
      <c r="V147" s="6">
        <v>1</v>
      </c>
      <c r="W147" s="6">
        <v>1</v>
      </c>
      <c r="X147" s="6"/>
      <c r="Y147" s="7">
        <f t="shared" si="24"/>
        <v>1</v>
      </c>
      <c r="Z147" s="6">
        <v>3</v>
      </c>
      <c r="AA147" s="6">
        <v>14</v>
      </c>
      <c r="AB147" s="11">
        <f t="shared" si="27"/>
        <v>4.666666666666667</v>
      </c>
      <c r="AC147" s="6"/>
      <c r="AD147" s="6"/>
      <c r="AE147" s="8" t="s">
        <v>964</v>
      </c>
    </row>
    <row r="148" spans="1:31" x14ac:dyDescent="0.25">
      <c r="A148" s="6" t="s">
        <v>1089</v>
      </c>
      <c r="B148" s="6">
        <v>0.5</v>
      </c>
      <c r="C148" s="6">
        <v>36</v>
      </c>
      <c r="D148" s="6">
        <v>1</v>
      </c>
      <c r="E148" s="6"/>
      <c r="F148" s="7">
        <f t="shared" si="19"/>
        <v>36</v>
      </c>
      <c r="G148" s="6">
        <v>1</v>
      </c>
      <c r="H148" s="6">
        <v>12</v>
      </c>
      <c r="I148" s="7">
        <f t="shared" si="18"/>
        <v>12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>
        <v>1</v>
      </c>
      <c r="V148" s="6">
        <v>36</v>
      </c>
      <c r="W148" s="6">
        <v>1</v>
      </c>
      <c r="X148" s="6"/>
      <c r="Y148" s="7">
        <f t="shared" si="24"/>
        <v>36</v>
      </c>
      <c r="Z148" s="6">
        <v>1</v>
      </c>
      <c r="AA148" s="6">
        <v>12</v>
      </c>
      <c r="AB148" s="11">
        <f t="shared" si="27"/>
        <v>12</v>
      </c>
      <c r="AC148" s="6"/>
      <c r="AD148" s="6"/>
      <c r="AE148" s="8" t="s">
        <v>939</v>
      </c>
    </row>
    <row r="149" spans="1:31" x14ac:dyDescent="0.25">
      <c r="A149" s="6" t="s">
        <v>117</v>
      </c>
      <c r="B149" s="6">
        <v>1</v>
      </c>
      <c r="C149" s="6">
        <v>17</v>
      </c>
      <c r="D149" s="6">
        <v>1</v>
      </c>
      <c r="E149" s="6"/>
      <c r="F149" s="7">
        <f t="shared" si="19"/>
        <v>17</v>
      </c>
      <c r="G149" s="6"/>
      <c r="H149" s="6">
        <v>16</v>
      </c>
      <c r="I149" s="7"/>
      <c r="J149" s="6"/>
      <c r="K149" s="6"/>
      <c r="L149" s="6"/>
      <c r="M149" s="6"/>
      <c r="N149" s="6"/>
      <c r="O149" s="6"/>
      <c r="P149" s="7"/>
      <c r="Q149" s="6"/>
      <c r="R149" s="6"/>
      <c r="S149" s="7"/>
      <c r="T149" s="6"/>
      <c r="Y149" s="7"/>
      <c r="AA149" s="6"/>
      <c r="AB149" s="11"/>
    </row>
    <row r="150" spans="1:31" x14ac:dyDescent="0.25">
      <c r="A150" s="6" t="s">
        <v>118</v>
      </c>
      <c r="B150" s="6">
        <v>33</v>
      </c>
      <c r="C150" s="6">
        <v>196</v>
      </c>
      <c r="D150" s="6">
        <v>26</v>
      </c>
      <c r="E150" s="6">
        <v>9</v>
      </c>
      <c r="F150" s="7">
        <f t="shared" si="19"/>
        <v>11.529411764705882</v>
      </c>
      <c r="G150" s="6">
        <v>30</v>
      </c>
      <c r="H150" s="6">
        <v>589</v>
      </c>
      <c r="I150" s="7">
        <f t="shared" si="18"/>
        <v>19.633333333333333</v>
      </c>
      <c r="J150" s="6"/>
      <c r="K150" s="6"/>
      <c r="L150" s="6"/>
      <c r="M150" s="6"/>
      <c r="N150" s="6"/>
      <c r="O150" s="6"/>
      <c r="P150" s="7"/>
      <c r="Q150" s="6"/>
      <c r="R150" s="6"/>
      <c r="S150" s="7"/>
      <c r="T150" s="6"/>
      <c r="Y150" s="7"/>
      <c r="AA150" s="6"/>
      <c r="AB150" s="11"/>
    </row>
    <row r="151" spans="1:31" x14ac:dyDescent="0.25">
      <c r="A151" s="6" t="s">
        <v>119</v>
      </c>
      <c r="B151" s="6">
        <v>2</v>
      </c>
      <c r="C151" s="6">
        <v>13</v>
      </c>
      <c r="D151" s="6">
        <v>2</v>
      </c>
      <c r="E151" s="6"/>
      <c r="F151" s="7">
        <f t="shared" si="19"/>
        <v>6.5</v>
      </c>
      <c r="G151" s="6"/>
      <c r="H151" s="6"/>
      <c r="I151" s="7"/>
      <c r="J151" s="6"/>
      <c r="K151" s="6"/>
      <c r="L151" s="6"/>
      <c r="M151" s="6"/>
      <c r="N151" s="6"/>
      <c r="O151" s="6"/>
      <c r="P151" s="7"/>
      <c r="Q151" s="6"/>
      <c r="R151" s="6"/>
      <c r="S151" s="7"/>
      <c r="T151" s="6"/>
      <c r="Y151" s="7"/>
      <c r="AA151" s="6"/>
      <c r="AB151" s="11"/>
    </row>
    <row r="152" spans="1:31" x14ac:dyDescent="0.25">
      <c r="A152" s="6" t="s">
        <v>120</v>
      </c>
      <c r="B152" s="11">
        <v>101.5</v>
      </c>
      <c r="C152" s="6">
        <v>1458</v>
      </c>
      <c r="D152" s="6">
        <v>129</v>
      </c>
      <c r="E152" s="6">
        <v>27</v>
      </c>
      <c r="F152" s="7">
        <f t="shared" si="19"/>
        <v>14.294117647058824</v>
      </c>
      <c r="G152" s="6">
        <v>15</v>
      </c>
      <c r="H152" s="6">
        <v>488</v>
      </c>
      <c r="I152" s="7">
        <f t="shared" si="18"/>
        <v>32.533333333333331</v>
      </c>
      <c r="J152" s="6"/>
      <c r="K152" s="6"/>
      <c r="L152" s="6">
        <v>145</v>
      </c>
      <c r="M152" s="6">
        <v>1228</v>
      </c>
      <c r="N152" s="6">
        <v>111</v>
      </c>
      <c r="O152" s="6">
        <v>26</v>
      </c>
      <c r="P152" s="7">
        <f t="shared" si="23"/>
        <v>14.447058823529412</v>
      </c>
      <c r="Q152" s="6">
        <v>11</v>
      </c>
      <c r="R152" s="6">
        <v>399</v>
      </c>
      <c r="S152" s="7">
        <f t="shared" si="26"/>
        <v>36.272727272727273</v>
      </c>
      <c r="T152" s="6"/>
      <c r="U152" s="6"/>
      <c r="V152" s="6"/>
      <c r="W152" s="6"/>
      <c r="X152" s="6"/>
      <c r="Y152" s="7"/>
      <c r="Z152" s="6"/>
      <c r="AA152" s="6"/>
      <c r="AB152" s="11"/>
      <c r="AD152" s="6"/>
      <c r="AE152" s="8" t="s">
        <v>121</v>
      </c>
    </row>
    <row r="153" spans="1:31" x14ac:dyDescent="0.25">
      <c r="A153" s="6" t="s">
        <v>122</v>
      </c>
      <c r="B153" s="6">
        <v>2</v>
      </c>
      <c r="C153" s="6">
        <v>12</v>
      </c>
      <c r="D153" s="6">
        <v>1</v>
      </c>
      <c r="E153" s="6">
        <v>1</v>
      </c>
      <c r="F153" s="7"/>
      <c r="G153" s="6"/>
      <c r="H153" s="6"/>
      <c r="I153" s="7"/>
      <c r="J153" s="6"/>
      <c r="K153" s="6"/>
      <c r="L153" s="6">
        <v>2</v>
      </c>
      <c r="M153" s="6">
        <v>12</v>
      </c>
      <c r="N153" s="6">
        <v>1</v>
      </c>
      <c r="O153" s="6">
        <v>1</v>
      </c>
      <c r="P153" s="7"/>
      <c r="Q153" s="6"/>
      <c r="R153" s="6"/>
      <c r="S153" s="7"/>
      <c r="T153" s="6"/>
      <c r="U153" s="6"/>
      <c r="V153" s="6"/>
      <c r="W153" s="6"/>
      <c r="X153" s="6"/>
      <c r="Y153" s="7"/>
      <c r="Z153" s="6"/>
      <c r="AA153" s="6"/>
      <c r="AB153" s="11"/>
      <c r="AD153" s="6"/>
      <c r="AE153" s="8" t="s">
        <v>41</v>
      </c>
    </row>
    <row r="154" spans="1:31" x14ac:dyDescent="0.25">
      <c r="A154" s="6" t="s">
        <v>123</v>
      </c>
      <c r="B154" s="6">
        <v>3</v>
      </c>
      <c r="C154" s="6">
        <v>27</v>
      </c>
      <c r="D154" s="6">
        <v>3</v>
      </c>
      <c r="E154" s="6"/>
      <c r="F154" s="7">
        <f t="shared" si="19"/>
        <v>9</v>
      </c>
      <c r="G154" s="6">
        <v>1</v>
      </c>
      <c r="H154" s="6">
        <v>14</v>
      </c>
      <c r="I154" s="7">
        <f t="shared" si="18"/>
        <v>14</v>
      </c>
      <c r="J154" s="6"/>
      <c r="K154" s="6"/>
      <c r="L154" s="6">
        <v>4</v>
      </c>
      <c r="M154" s="6">
        <v>27</v>
      </c>
      <c r="N154" s="6">
        <v>3</v>
      </c>
      <c r="O154" s="6"/>
      <c r="P154" s="7">
        <f t="shared" si="23"/>
        <v>9</v>
      </c>
      <c r="Q154" s="6">
        <v>1</v>
      </c>
      <c r="R154" s="6">
        <v>14</v>
      </c>
      <c r="S154" s="7">
        <f t="shared" si="26"/>
        <v>14</v>
      </c>
      <c r="T154" s="6"/>
      <c r="U154" s="6"/>
      <c r="V154" s="6"/>
      <c r="W154" s="6"/>
      <c r="X154" s="6"/>
      <c r="Y154" s="7"/>
      <c r="Z154" s="6"/>
      <c r="AA154" s="6"/>
      <c r="AB154" s="11"/>
      <c r="AD154" s="6"/>
      <c r="AE154" s="8" t="s">
        <v>124</v>
      </c>
    </row>
    <row r="155" spans="1:31" x14ac:dyDescent="0.25">
      <c r="A155" s="6" t="s">
        <v>125</v>
      </c>
      <c r="B155" s="6">
        <v>1</v>
      </c>
      <c r="C155" s="6">
        <v>12</v>
      </c>
      <c r="D155" s="6">
        <v>1</v>
      </c>
      <c r="E155" s="6"/>
      <c r="F155" s="7">
        <f t="shared" si="19"/>
        <v>12</v>
      </c>
      <c r="G155" s="6"/>
      <c r="H155" s="6"/>
      <c r="I155" s="7"/>
      <c r="J155" s="6"/>
      <c r="K155" s="6"/>
      <c r="L155" s="6">
        <v>1</v>
      </c>
      <c r="M155" s="6">
        <v>12</v>
      </c>
      <c r="N155" s="6">
        <v>1</v>
      </c>
      <c r="O155" s="6"/>
      <c r="P155" s="7">
        <f t="shared" si="23"/>
        <v>12</v>
      </c>
      <c r="Q155" s="6"/>
      <c r="R155" s="6"/>
      <c r="S155" s="7"/>
      <c r="T155" s="6"/>
      <c r="U155" s="6"/>
      <c r="V155" s="6"/>
      <c r="W155" s="6"/>
      <c r="X155" s="6"/>
      <c r="Y155" s="7"/>
      <c r="Z155" s="6"/>
      <c r="AA155" s="6"/>
      <c r="AB155" s="11"/>
      <c r="AD155" s="6"/>
      <c r="AE155" s="8" t="s">
        <v>23</v>
      </c>
    </row>
    <row r="156" spans="1:31" x14ac:dyDescent="0.25">
      <c r="A156" s="6" t="s">
        <v>126</v>
      </c>
      <c r="B156" s="6">
        <v>6</v>
      </c>
      <c r="C156" s="6">
        <v>18</v>
      </c>
      <c r="D156" s="6">
        <v>5</v>
      </c>
      <c r="E156" s="6"/>
      <c r="F156" s="7">
        <f t="shared" si="19"/>
        <v>3.6</v>
      </c>
      <c r="G156" s="6">
        <v>1</v>
      </c>
      <c r="H156" s="6">
        <v>16</v>
      </c>
      <c r="I156" s="7">
        <f t="shared" si="18"/>
        <v>16</v>
      </c>
      <c r="J156" s="6"/>
      <c r="K156" s="6"/>
      <c r="L156" s="6"/>
      <c r="M156" s="6"/>
      <c r="N156" s="6"/>
      <c r="O156" s="6"/>
      <c r="P156" s="7"/>
      <c r="Q156" s="6"/>
      <c r="R156" s="6"/>
      <c r="S156" s="7"/>
      <c r="T156" s="6"/>
      <c r="U156" s="6"/>
      <c r="V156" s="6"/>
      <c r="W156" s="6"/>
      <c r="X156" s="6"/>
      <c r="Y156" s="7"/>
      <c r="Z156" s="6"/>
      <c r="AA156" s="6"/>
      <c r="AB156" s="11"/>
    </row>
    <row r="157" spans="1:31" x14ac:dyDescent="0.25">
      <c r="A157" s="6" t="s">
        <v>127</v>
      </c>
      <c r="B157" s="6">
        <v>114</v>
      </c>
      <c r="C157" s="6">
        <v>1703</v>
      </c>
      <c r="D157" s="6">
        <v>122</v>
      </c>
      <c r="E157" s="6">
        <v>31</v>
      </c>
      <c r="F157" s="7">
        <f t="shared" si="19"/>
        <v>18.714285714285715</v>
      </c>
      <c r="G157" s="6">
        <v>164</v>
      </c>
      <c r="H157" s="6">
        <v>3316</v>
      </c>
      <c r="I157" s="7">
        <f t="shared" si="18"/>
        <v>20.219512195121951</v>
      </c>
      <c r="J157" s="6"/>
      <c r="K157" s="6"/>
      <c r="L157" s="6"/>
      <c r="M157" s="6"/>
      <c r="N157" s="6"/>
      <c r="O157" s="6"/>
      <c r="P157" s="7"/>
      <c r="Q157" s="6"/>
      <c r="R157" s="6"/>
      <c r="S157" s="7"/>
      <c r="T157" s="6"/>
      <c r="U157" s="6"/>
      <c r="V157" s="6"/>
      <c r="W157" s="6"/>
      <c r="X157" s="6"/>
      <c r="Y157" s="7"/>
      <c r="Z157" s="6"/>
      <c r="AA157" s="6"/>
      <c r="AB157" s="11"/>
    </row>
    <row r="158" spans="1:31" x14ac:dyDescent="0.25">
      <c r="A158" s="6" t="s">
        <v>128</v>
      </c>
      <c r="B158" s="6">
        <v>1</v>
      </c>
      <c r="C158" s="6"/>
      <c r="D158" s="6">
        <v>1</v>
      </c>
      <c r="E158" s="6"/>
      <c r="F158" s="7"/>
      <c r="G158" s="6">
        <v>4</v>
      </c>
      <c r="H158" s="6">
        <v>103</v>
      </c>
      <c r="I158" s="7">
        <f t="shared" si="18"/>
        <v>25.75</v>
      </c>
      <c r="J158" s="6"/>
      <c r="K158" s="6"/>
      <c r="L158" s="6"/>
      <c r="M158" s="6"/>
      <c r="N158" s="6"/>
      <c r="O158" s="6"/>
      <c r="P158" s="7"/>
      <c r="Q158" s="6"/>
      <c r="R158" s="6"/>
      <c r="S158" s="7"/>
      <c r="T158" s="6"/>
      <c r="U158" s="6"/>
      <c r="V158" s="6"/>
      <c r="W158" s="6"/>
      <c r="X158" s="6"/>
      <c r="Y158" s="7"/>
      <c r="Z158" s="6"/>
      <c r="AA158" s="6"/>
      <c r="AB158" s="11"/>
    </row>
    <row r="159" spans="1:31" x14ac:dyDescent="0.25">
      <c r="A159" s="6" t="s">
        <v>129</v>
      </c>
      <c r="B159" s="6">
        <v>6</v>
      </c>
      <c r="C159" s="6">
        <v>140</v>
      </c>
      <c r="D159" s="6">
        <v>7</v>
      </c>
      <c r="E159" s="6"/>
      <c r="F159" s="7">
        <f t="shared" si="19"/>
        <v>20</v>
      </c>
      <c r="G159" s="6"/>
      <c r="H159" s="6">
        <v>20</v>
      </c>
      <c r="I159" s="7"/>
      <c r="J159" s="6"/>
      <c r="K159" s="6"/>
      <c r="L159" s="6"/>
      <c r="M159" s="6"/>
      <c r="N159" s="6"/>
      <c r="O159" s="6"/>
      <c r="P159" s="7"/>
      <c r="Q159" s="6"/>
      <c r="R159" s="6"/>
      <c r="S159" s="7"/>
      <c r="T159" s="6"/>
      <c r="U159" s="6"/>
      <c r="V159" s="6"/>
      <c r="W159" s="6"/>
      <c r="X159" s="6"/>
      <c r="Y159" s="7"/>
      <c r="Z159" s="6"/>
      <c r="AA159" s="6"/>
      <c r="AB159" s="11"/>
    </row>
    <row r="160" spans="1:31" x14ac:dyDescent="0.25">
      <c r="A160" s="6" t="s">
        <v>130</v>
      </c>
      <c r="B160" s="6">
        <v>21</v>
      </c>
      <c r="C160" s="6">
        <v>339</v>
      </c>
      <c r="D160" s="6">
        <v>28</v>
      </c>
      <c r="E160" s="6">
        <v>3</v>
      </c>
      <c r="F160" s="7">
        <f t="shared" si="19"/>
        <v>13.56</v>
      </c>
      <c r="G160" s="6">
        <v>21</v>
      </c>
      <c r="H160" s="6">
        <v>446</v>
      </c>
      <c r="I160" s="7">
        <f t="shared" si="18"/>
        <v>21.238095238095237</v>
      </c>
      <c r="J160" s="6"/>
      <c r="K160" s="6"/>
      <c r="L160" s="6"/>
      <c r="M160" s="6"/>
      <c r="N160" s="6"/>
      <c r="O160" s="6"/>
      <c r="P160" s="7"/>
      <c r="Q160" s="6"/>
      <c r="R160" s="6"/>
      <c r="S160" s="7"/>
      <c r="T160" s="6"/>
      <c r="U160" s="6"/>
      <c r="V160" s="6"/>
      <c r="W160" s="6"/>
      <c r="X160" s="6"/>
      <c r="Y160" s="7"/>
      <c r="Z160" s="6"/>
      <c r="AA160" s="6"/>
      <c r="AB160" s="11"/>
    </row>
    <row r="161" spans="1:31" x14ac:dyDescent="0.25">
      <c r="A161" s="6" t="s">
        <v>684</v>
      </c>
      <c r="B161" s="6">
        <v>5</v>
      </c>
      <c r="C161" s="6">
        <v>131</v>
      </c>
      <c r="D161" s="6">
        <v>5</v>
      </c>
      <c r="E161" s="6">
        <v>1</v>
      </c>
      <c r="F161" s="7">
        <f t="shared" si="19"/>
        <v>32.75</v>
      </c>
      <c r="G161" s="6"/>
      <c r="H161" s="6"/>
      <c r="I161" s="7"/>
      <c r="J161" s="6"/>
      <c r="K161" s="6"/>
      <c r="L161" s="6">
        <v>1</v>
      </c>
      <c r="M161" s="6">
        <v>41</v>
      </c>
      <c r="N161" s="6">
        <v>1</v>
      </c>
      <c r="O161" s="6"/>
      <c r="P161" s="7">
        <f t="shared" si="23"/>
        <v>41</v>
      </c>
      <c r="Q161" s="6"/>
      <c r="R161" s="6"/>
      <c r="S161" s="7"/>
      <c r="T161" s="6"/>
      <c r="U161" s="6"/>
      <c r="V161" s="6"/>
      <c r="W161" s="6"/>
      <c r="X161" s="6"/>
      <c r="Y161" s="7"/>
      <c r="Z161" s="6"/>
      <c r="AA161" s="6"/>
      <c r="AB161" s="11"/>
      <c r="AD161" s="6"/>
      <c r="AE161" s="8" t="s">
        <v>664</v>
      </c>
    </row>
    <row r="162" spans="1:31" x14ac:dyDescent="0.25">
      <c r="A162" s="6" t="s">
        <v>721</v>
      </c>
      <c r="B162" s="6">
        <v>7</v>
      </c>
      <c r="C162" s="6">
        <v>38</v>
      </c>
      <c r="D162" s="6">
        <v>9</v>
      </c>
      <c r="E162" s="6"/>
      <c r="F162" s="7">
        <f t="shared" si="19"/>
        <v>4.2222222222222223</v>
      </c>
      <c r="G162" s="6">
        <v>11</v>
      </c>
      <c r="H162" s="6">
        <v>278</v>
      </c>
      <c r="I162" s="7">
        <f t="shared" si="18"/>
        <v>25.272727272727273</v>
      </c>
      <c r="J162" s="6"/>
      <c r="K162" s="6"/>
      <c r="L162" s="6">
        <v>5</v>
      </c>
      <c r="M162" s="6">
        <v>15</v>
      </c>
      <c r="N162" s="6">
        <v>5</v>
      </c>
      <c r="O162" s="6"/>
      <c r="P162" s="7">
        <f t="shared" si="23"/>
        <v>3</v>
      </c>
      <c r="Q162" s="6">
        <v>6</v>
      </c>
      <c r="R162" s="6">
        <v>136</v>
      </c>
      <c r="S162" s="7">
        <f t="shared" si="26"/>
        <v>22.666666666666668</v>
      </c>
      <c r="T162" s="6"/>
      <c r="U162" s="6"/>
      <c r="V162" s="6"/>
      <c r="W162" s="6"/>
      <c r="X162" s="6"/>
      <c r="Y162" s="7"/>
      <c r="Z162" s="6"/>
      <c r="AA162" s="6"/>
      <c r="AB162" s="11"/>
      <c r="AD162" s="6"/>
      <c r="AE162" s="8" t="s">
        <v>742</v>
      </c>
    </row>
    <row r="163" spans="1:31" x14ac:dyDescent="0.25">
      <c r="A163" s="6" t="s">
        <v>131</v>
      </c>
      <c r="B163" s="6">
        <v>33</v>
      </c>
      <c r="C163" s="6">
        <v>588</v>
      </c>
      <c r="D163" s="6">
        <v>32</v>
      </c>
      <c r="E163" s="6">
        <v>4</v>
      </c>
      <c r="F163" s="7">
        <f t="shared" si="19"/>
        <v>21</v>
      </c>
      <c r="G163" s="6">
        <v>13</v>
      </c>
      <c r="H163" s="6">
        <v>319</v>
      </c>
      <c r="I163" s="7">
        <f t="shared" si="18"/>
        <v>24.53846153846154</v>
      </c>
      <c r="J163" s="6"/>
      <c r="K163" s="6"/>
      <c r="L163" s="6"/>
      <c r="M163" s="6"/>
      <c r="N163" s="6"/>
      <c r="O163" s="6"/>
      <c r="P163" s="7"/>
      <c r="Q163" s="6"/>
      <c r="R163" s="6"/>
      <c r="S163" s="7"/>
      <c r="T163" s="6"/>
      <c r="U163" s="6"/>
      <c r="V163" s="6"/>
      <c r="W163" s="6"/>
      <c r="X163" s="6"/>
      <c r="Y163" s="7"/>
      <c r="Z163" s="6"/>
      <c r="AA163" s="6"/>
      <c r="AB163" s="11"/>
    </row>
    <row r="164" spans="1:31" x14ac:dyDescent="0.25">
      <c r="A164" s="6" t="s">
        <v>1090</v>
      </c>
      <c r="B164" s="6">
        <v>0.5</v>
      </c>
      <c r="C164" s="6"/>
      <c r="D164" s="6"/>
      <c r="E164" s="6"/>
      <c r="F164" s="7"/>
      <c r="G164" s="6">
        <v>1</v>
      </c>
      <c r="H164" s="6">
        <v>32</v>
      </c>
      <c r="I164" s="7"/>
      <c r="J164" s="6"/>
      <c r="K164" s="6"/>
      <c r="L164" s="6"/>
      <c r="M164" s="6"/>
      <c r="N164" s="6"/>
      <c r="O164" s="6"/>
      <c r="P164" s="7"/>
      <c r="Q164" s="6"/>
      <c r="R164" s="6"/>
      <c r="S164" s="7"/>
      <c r="T164" s="6"/>
      <c r="U164" s="6">
        <v>1</v>
      </c>
      <c r="V164" s="6"/>
      <c r="W164" s="6"/>
      <c r="X164" s="6"/>
      <c r="Y164" s="7"/>
      <c r="Z164" s="6">
        <v>1</v>
      </c>
      <c r="AA164" s="6">
        <v>32</v>
      </c>
      <c r="AB164" s="11">
        <f t="shared" si="27"/>
        <v>32</v>
      </c>
      <c r="AE164" s="13" t="s">
        <v>939</v>
      </c>
    </row>
    <row r="165" spans="1:31" x14ac:dyDescent="0.25">
      <c r="A165" s="6" t="s">
        <v>813</v>
      </c>
      <c r="B165" s="6">
        <v>30</v>
      </c>
      <c r="C165" s="6">
        <v>226</v>
      </c>
      <c r="D165" s="6">
        <v>18</v>
      </c>
      <c r="E165" s="6">
        <v>2</v>
      </c>
      <c r="F165" s="7">
        <f t="shared" si="19"/>
        <v>14.125</v>
      </c>
      <c r="G165" s="6">
        <v>32</v>
      </c>
      <c r="H165" s="6">
        <v>564</v>
      </c>
      <c r="I165" s="7">
        <f t="shared" si="18"/>
        <v>17.625</v>
      </c>
      <c r="J165" s="6"/>
      <c r="K165" s="6"/>
      <c r="L165" s="6"/>
      <c r="M165" s="6"/>
      <c r="N165" s="6"/>
      <c r="O165" s="6"/>
      <c r="P165" s="7"/>
      <c r="Q165" s="6"/>
      <c r="R165" s="6"/>
      <c r="S165" s="7"/>
      <c r="T165" s="6"/>
      <c r="U165" s="6"/>
      <c r="V165" s="6"/>
      <c r="W165" s="6"/>
      <c r="X165" s="6"/>
      <c r="Y165" s="7"/>
      <c r="Z165" s="6"/>
      <c r="AA165" s="6"/>
      <c r="AB165" s="11"/>
      <c r="AD165" s="6"/>
      <c r="AE165" s="8" t="s">
        <v>850</v>
      </c>
    </row>
    <row r="166" spans="1:31" x14ac:dyDescent="0.25">
      <c r="A166" s="6" t="s">
        <v>132</v>
      </c>
      <c r="B166" s="6">
        <v>1</v>
      </c>
      <c r="C166" s="6">
        <v>8</v>
      </c>
      <c r="D166" s="6">
        <v>1</v>
      </c>
      <c r="E166" s="6"/>
      <c r="F166" s="7">
        <f t="shared" si="19"/>
        <v>8</v>
      </c>
      <c r="G166" s="6"/>
      <c r="H166" s="6"/>
      <c r="I166" s="7"/>
      <c r="J166" s="6"/>
      <c r="K166" s="6"/>
      <c r="L166" s="6"/>
      <c r="M166" s="6"/>
      <c r="N166" s="6"/>
      <c r="O166" s="6"/>
      <c r="P166" s="7"/>
      <c r="Q166" s="6"/>
      <c r="R166" s="6"/>
      <c r="S166" s="7"/>
      <c r="T166" s="6"/>
      <c r="U166" s="6"/>
      <c r="V166" s="6"/>
      <c r="W166" s="6"/>
      <c r="X166" s="6"/>
      <c r="Y166" s="7"/>
      <c r="Z166" s="6"/>
      <c r="AA166" s="6"/>
      <c r="AB166" s="11"/>
    </row>
    <row r="167" spans="1:31" x14ac:dyDescent="0.25">
      <c r="A167" s="6" t="s">
        <v>133</v>
      </c>
      <c r="B167" s="6">
        <v>7</v>
      </c>
      <c r="C167" s="6">
        <v>60</v>
      </c>
      <c r="D167" s="6">
        <v>8</v>
      </c>
      <c r="E167" s="6">
        <v>3</v>
      </c>
      <c r="F167" s="7">
        <f t="shared" si="19"/>
        <v>12</v>
      </c>
      <c r="G167" s="6">
        <v>15</v>
      </c>
      <c r="H167" s="6">
        <v>279</v>
      </c>
      <c r="I167" s="7">
        <f t="shared" si="18"/>
        <v>18.600000000000001</v>
      </c>
      <c r="J167" s="6"/>
      <c r="K167" s="6"/>
      <c r="L167" s="6"/>
      <c r="M167" s="6"/>
      <c r="N167" s="6"/>
      <c r="O167" s="6"/>
      <c r="P167" s="7"/>
      <c r="Q167" s="6"/>
      <c r="R167" s="6"/>
      <c r="S167" s="7"/>
      <c r="T167" s="6"/>
      <c r="U167" s="6"/>
      <c r="V167" s="6"/>
      <c r="W167" s="6"/>
      <c r="X167" s="6"/>
      <c r="Y167" s="7"/>
      <c r="Z167" s="6"/>
      <c r="AA167" s="6"/>
      <c r="AB167" s="11"/>
    </row>
    <row r="168" spans="1:31" x14ac:dyDescent="0.25">
      <c r="A168" s="6" t="s">
        <v>134</v>
      </c>
      <c r="B168" s="6">
        <v>29</v>
      </c>
      <c r="C168" s="6">
        <v>316</v>
      </c>
      <c r="D168" s="6">
        <v>25</v>
      </c>
      <c r="E168" s="6">
        <v>5</v>
      </c>
      <c r="F168" s="7">
        <f t="shared" si="19"/>
        <v>15.8</v>
      </c>
      <c r="G168" s="6">
        <v>2</v>
      </c>
      <c r="H168" s="6">
        <v>160</v>
      </c>
      <c r="I168" s="7">
        <f t="shared" si="18"/>
        <v>80</v>
      </c>
      <c r="J168" s="6"/>
      <c r="K168" s="6"/>
      <c r="L168" s="6"/>
      <c r="M168" s="6"/>
      <c r="N168" s="6"/>
      <c r="O168" s="6"/>
      <c r="P168" s="7"/>
      <c r="Q168" s="6"/>
      <c r="R168" s="6"/>
      <c r="S168" s="7"/>
      <c r="T168" s="6"/>
      <c r="U168" s="6"/>
      <c r="V168" s="6"/>
      <c r="W168" s="6"/>
      <c r="X168" s="6"/>
      <c r="Y168" s="7"/>
      <c r="Z168" s="6"/>
      <c r="AA168" s="6"/>
      <c r="AB168" s="11"/>
    </row>
    <row r="169" spans="1:31" x14ac:dyDescent="0.25">
      <c r="A169" s="6" t="s">
        <v>135</v>
      </c>
      <c r="B169" s="6">
        <v>2</v>
      </c>
      <c r="C169" s="6">
        <v>11</v>
      </c>
      <c r="D169" s="6">
        <v>3</v>
      </c>
      <c r="E169" s="6">
        <v>1</v>
      </c>
      <c r="F169" s="7">
        <f t="shared" si="19"/>
        <v>5.5</v>
      </c>
      <c r="G169" s="6"/>
      <c r="H169" s="6"/>
      <c r="I169" s="7"/>
      <c r="J169" s="6"/>
      <c r="K169" s="6"/>
      <c r="L169" s="6"/>
      <c r="M169" s="6"/>
      <c r="N169" s="6"/>
      <c r="O169" s="6"/>
      <c r="P169" s="7"/>
      <c r="Q169" s="6"/>
      <c r="R169" s="6"/>
      <c r="S169" s="7"/>
      <c r="T169" s="6"/>
      <c r="U169" s="6"/>
      <c r="V169" s="6"/>
      <c r="W169" s="6"/>
      <c r="X169" s="6"/>
      <c r="Y169" s="7"/>
      <c r="Z169" s="6"/>
      <c r="AA169" s="6"/>
      <c r="AB169" s="11"/>
    </row>
    <row r="170" spans="1:31" x14ac:dyDescent="0.25">
      <c r="A170" s="6" t="s">
        <v>136</v>
      </c>
      <c r="B170" s="6">
        <v>10</v>
      </c>
      <c r="C170" s="6">
        <v>86</v>
      </c>
      <c r="D170" s="6">
        <v>9</v>
      </c>
      <c r="E170" s="6"/>
      <c r="F170" s="7">
        <f t="shared" si="19"/>
        <v>9.5555555555555554</v>
      </c>
      <c r="G170" s="6">
        <v>2</v>
      </c>
      <c r="H170" s="6">
        <v>21</v>
      </c>
      <c r="I170" s="7">
        <f t="shared" si="18"/>
        <v>10.5</v>
      </c>
      <c r="J170" s="6"/>
      <c r="K170" s="6"/>
      <c r="L170" s="6"/>
      <c r="M170" s="6"/>
      <c r="N170" s="6"/>
      <c r="O170" s="6"/>
      <c r="P170" s="7"/>
      <c r="Q170" s="6"/>
      <c r="R170" s="6"/>
      <c r="S170" s="7"/>
      <c r="T170" s="6"/>
      <c r="U170" s="6"/>
      <c r="V170" s="6"/>
      <c r="W170" s="6"/>
      <c r="X170" s="6"/>
      <c r="Y170" s="7"/>
      <c r="Z170" s="6"/>
      <c r="AA170" s="6"/>
      <c r="AB170" s="11"/>
    </row>
    <row r="171" spans="1:31" x14ac:dyDescent="0.25">
      <c r="A171" s="6" t="s">
        <v>137</v>
      </c>
      <c r="B171" s="6">
        <v>54</v>
      </c>
      <c r="C171" s="6">
        <v>1318</v>
      </c>
      <c r="D171" s="6">
        <v>54</v>
      </c>
      <c r="E171" s="6">
        <v>6</v>
      </c>
      <c r="F171" s="7">
        <f t="shared" si="19"/>
        <v>27.458333333333332</v>
      </c>
      <c r="G171" s="6"/>
      <c r="H171" s="6"/>
      <c r="I171" s="7"/>
      <c r="J171" s="6"/>
      <c r="K171" s="6"/>
      <c r="L171" s="6">
        <v>2</v>
      </c>
      <c r="M171" s="6">
        <v>110</v>
      </c>
      <c r="N171" s="6">
        <v>2</v>
      </c>
      <c r="O171" s="6">
        <v>1</v>
      </c>
      <c r="P171" s="7">
        <f t="shared" si="23"/>
        <v>110</v>
      </c>
      <c r="Q171" s="6"/>
      <c r="R171" s="6"/>
      <c r="S171" s="7"/>
      <c r="T171" s="6"/>
      <c r="U171" s="6"/>
      <c r="V171" s="6"/>
      <c r="W171" s="6"/>
      <c r="X171" s="6"/>
      <c r="Y171" s="7"/>
      <c r="Z171" s="6"/>
      <c r="AA171" s="6"/>
      <c r="AB171" s="11"/>
      <c r="AD171" s="6"/>
      <c r="AE171" s="8" t="s">
        <v>743</v>
      </c>
    </row>
    <row r="172" spans="1:31" x14ac:dyDescent="0.25">
      <c r="A172" s="6" t="s">
        <v>138</v>
      </c>
      <c r="B172" s="14">
        <v>255</v>
      </c>
      <c r="C172" s="6">
        <v>3573</v>
      </c>
      <c r="D172" s="6">
        <v>267</v>
      </c>
      <c r="E172" s="6">
        <v>17</v>
      </c>
      <c r="F172" s="7">
        <f t="shared" si="19"/>
        <v>14.292</v>
      </c>
      <c r="G172" s="6">
        <v>18</v>
      </c>
      <c r="H172" s="6">
        <v>465</v>
      </c>
      <c r="I172" s="7">
        <f t="shared" si="18"/>
        <v>25.833333333333332</v>
      </c>
      <c r="J172" s="6"/>
      <c r="K172" s="6"/>
      <c r="L172" s="6">
        <v>29</v>
      </c>
      <c r="M172" s="6">
        <v>600</v>
      </c>
      <c r="N172" s="6">
        <v>28</v>
      </c>
      <c r="O172" s="6">
        <v>3</v>
      </c>
      <c r="P172" s="7">
        <f t="shared" si="23"/>
        <v>24</v>
      </c>
      <c r="Q172" s="6"/>
      <c r="R172" s="6"/>
      <c r="S172" s="7"/>
      <c r="T172" s="6"/>
      <c r="U172" s="6">
        <v>9</v>
      </c>
      <c r="V172" s="6">
        <v>102</v>
      </c>
      <c r="W172" s="6">
        <v>8</v>
      </c>
      <c r="X172" s="6">
        <v>2</v>
      </c>
      <c r="Y172" s="7">
        <f t="shared" si="24"/>
        <v>17</v>
      </c>
      <c r="Z172" s="6"/>
      <c r="AA172" s="6"/>
      <c r="AB172" s="11"/>
      <c r="AD172" s="6"/>
      <c r="AE172" s="8" t="s">
        <v>1128</v>
      </c>
    </row>
    <row r="173" spans="1:31" x14ac:dyDescent="0.25">
      <c r="A173" s="6" t="s">
        <v>139</v>
      </c>
      <c r="B173" s="6">
        <v>89</v>
      </c>
      <c r="C173" s="6">
        <v>1735</v>
      </c>
      <c r="D173" s="6">
        <v>83</v>
      </c>
      <c r="E173" s="6">
        <v>11</v>
      </c>
      <c r="F173" s="7">
        <f t="shared" si="19"/>
        <v>24.097222222222221</v>
      </c>
      <c r="G173" s="6">
        <v>24</v>
      </c>
      <c r="H173" s="6">
        <v>514</v>
      </c>
      <c r="I173" s="7">
        <f t="shared" si="18"/>
        <v>21.416666666666668</v>
      </c>
      <c r="J173" s="6"/>
      <c r="K173" s="6"/>
      <c r="L173" s="6"/>
      <c r="M173" s="6"/>
      <c r="N173" s="6"/>
      <c r="O173" s="6"/>
      <c r="P173" s="7"/>
      <c r="Q173" s="6"/>
      <c r="R173" s="6"/>
      <c r="S173" s="7"/>
      <c r="T173" s="6"/>
      <c r="U173" s="6"/>
      <c r="V173" s="6"/>
      <c r="W173" s="6"/>
      <c r="X173" s="6"/>
      <c r="Y173" s="7"/>
      <c r="Z173" s="6"/>
      <c r="AA173" s="6"/>
      <c r="AB173" s="11"/>
    </row>
    <row r="174" spans="1:31" x14ac:dyDescent="0.25">
      <c r="A174" s="6" t="s">
        <v>140</v>
      </c>
      <c r="B174" s="6">
        <v>14</v>
      </c>
      <c r="C174" s="6">
        <v>534</v>
      </c>
      <c r="D174" s="6">
        <v>16</v>
      </c>
      <c r="E174" s="6">
        <v>1</v>
      </c>
      <c r="F174" s="7">
        <f t="shared" si="19"/>
        <v>35.6</v>
      </c>
      <c r="G174" s="6">
        <v>9</v>
      </c>
      <c r="H174" s="6">
        <v>215</v>
      </c>
      <c r="I174" s="7">
        <f t="shared" si="18"/>
        <v>23.888888888888889</v>
      </c>
      <c r="J174" s="6"/>
      <c r="K174" s="6"/>
      <c r="L174" s="6"/>
      <c r="M174" s="6"/>
      <c r="N174" s="6"/>
      <c r="O174" s="6"/>
      <c r="P174" s="7"/>
      <c r="Q174" s="6"/>
      <c r="R174" s="6"/>
      <c r="S174" s="7"/>
      <c r="T174" s="6"/>
      <c r="U174" s="6"/>
      <c r="V174" s="6"/>
      <c r="W174" s="6"/>
      <c r="X174" s="6"/>
      <c r="Y174" s="7"/>
      <c r="Z174" s="6"/>
      <c r="AA174" s="6"/>
      <c r="AB174" s="11"/>
    </row>
    <row r="175" spans="1:31" x14ac:dyDescent="0.25">
      <c r="A175" s="6" t="s">
        <v>141</v>
      </c>
      <c r="B175" s="6">
        <v>18</v>
      </c>
      <c r="C175" s="6">
        <v>43</v>
      </c>
      <c r="D175" s="6">
        <v>20</v>
      </c>
      <c r="E175" s="6">
        <v>7</v>
      </c>
      <c r="F175" s="7">
        <f t="shared" si="19"/>
        <v>3.3076923076923075</v>
      </c>
      <c r="G175" s="6">
        <v>1</v>
      </c>
      <c r="H175" s="6">
        <v>55</v>
      </c>
      <c r="I175" s="7">
        <f t="shared" si="18"/>
        <v>55</v>
      </c>
      <c r="J175" s="6"/>
      <c r="K175" s="6"/>
      <c r="L175" s="6"/>
      <c r="M175" s="6"/>
      <c r="N175" s="6"/>
      <c r="O175" s="6"/>
      <c r="P175" s="7"/>
      <c r="Q175" s="6"/>
      <c r="R175" s="6"/>
      <c r="S175" s="7"/>
      <c r="T175" s="6"/>
      <c r="U175" s="6"/>
      <c r="V175" s="6"/>
      <c r="W175" s="6"/>
      <c r="X175" s="6"/>
      <c r="Y175" s="7"/>
      <c r="Z175" s="6"/>
      <c r="AA175" s="6"/>
      <c r="AB175" s="11"/>
    </row>
    <row r="176" spans="1:31" x14ac:dyDescent="0.25">
      <c r="A176" s="6" t="s">
        <v>142</v>
      </c>
      <c r="B176" s="6">
        <v>23</v>
      </c>
      <c r="C176" s="6">
        <v>878</v>
      </c>
      <c r="D176" s="6">
        <v>23</v>
      </c>
      <c r="E176" s="6">
        <v>6</v>
      </c>
      <c r="F176" s="7">
        <f t="shared" si="19"/>
        <v>51.647058823529413</v>
      </c>
      <c r="G176" s="6">
        <v>23</v>
      </c>
      <c r="H176" s="6">
        <v>272</v>
      </c>
      <c r="I176" s="7">
        <f t="shared" si="18"/>
        <v>11.826086956521738</v>
      </c>
      <c r="J176" s="6"/>
      <c r="K176" s="6"/>
      <c r="L176" s="6"/>
      <c r="M176" s="6"/>
      <c r="N176" s="6"/>
      <c r="O176" s="6"/>
      <c r="P176" s="7"/>
      <c r="Q176" s="6"/>
      <c r="R176" s="6"/>
      <c r="S176" s="7"/>
      <c r="T176" s="6"/>
      <c r="U176" s="6"/>
      <c r="V176" s="6"/>
      <c r="W176" s="6"/>
      <c r="X176" s="6"/>
      <c r="Y176" s="7"/>
      <c r="Z176" s="6"/>
      <c r="AA176" s="6"/>
      <c r="AB176" s="11"/>
    </row>
    <row r="177" spans="1:31" x14ac:dyDescent="0.25">
      <c r="A177" s="6" t="s">
        <v>143</v>
      </c>
      <c r="B177" s="6">
        <v>2</v>
      </c>
      <c r="C177" s="6">
        <v>7</v>
      </c>
      <c r="D177" s="6">
        <v>2</v>
      </c>
      <c r="E177" s="6"/>
      <c r="F177" s="7">
        <f t="shared" si="19"/>
        <v>3.5</v>
      </c>
      <c r="G177" s="6"/>
      <c r="H177" s="6"/>
      <c r="I177" s="7"/>
      <c r="J177" s="6"/>
      <c r="K177" s="6"/>
      <c r="L177" s="6"/>
      <c r="M177" s="6"/>
      <c r="N177" s="6"/>
      <c r="O177" s="6"/>
      <c r="P177" s="7"/>
      <c r="Q177" s="6"/>
      <c r="R177" s="6"/>
      <c r="S177" s="7"/>
      <c r="T177" s="6"/>
      <c r="U177" s="6"/>
      <c r="V177" s="6"/>
      <c r="W177" s="6"/>
      <c r="X177" s="6"/>
      <c r="Y177" s="7"/>
      <c r="Z177" s="6"/>
      <c r="AA177" s="6"/>
      <c r="AB177" s="11"/>
    </row>
    <row r="178" spans="1:31" x14ac:dyDescent="0.25">
      <c r="A178" s="6" t="s">
        <v>638</v>
      </c>
      <c r="B178" s="6">
        <v>2</v>
      </c>
      <c r="C178" s="6">
        <v>3</v>
      </c>
      <c r="D178" s="6">
        <v>2</v>
      </c>
      <c r="E178" s="6"/>
      <c r="F178" s="7">
        <f t="shared" si="19"/>
        <v>1.5</v>
      </c>
      <c r="G178" s="6"/>
      <c r="H178" s="6">
        <v>22</v>
      </c>
      <c r="I178" s="7"/>
      <c r="J178" s="6"/>
      <c r="K178" s="6"/>
      <c r="L178" s="6">
        <v>1</v>
      </c>
      <c r="M178" s="6">
        <v>3</v>
      </c>
      <c r="N178" s="6">
        <v>1</v>
      </c>
      <c r="O178" s="6"/>
      <c r="P178" s="7">
        <f t="shared" si="23"/>
        <v>3</v>
      </c>
      <c r="Q178" s="6"/>
      <c r="R178" s="6"/>
      <c r="S178" s="7"/>
      <c r="T178" s="6"/>
      <c r="U178" s="6"/>
      <c r="V178" s="6"/>
      <c r="W178" s="6"/>
      <c r="X178" s="6"/>
      <c r="Y178" s="7"/>
      <c r="Z178" s="6"/>
      <c r="AA178" s="6"/>
      <c r="AB178" s="11"/>
      <c r="AD178" s="6"/>
      <c r="AE178" s="8" t="s">
        <v>695</v>
      </c>
    </row>
    <row r="179" spans="1:31" x14ac:dyDescent="0.25">
      <c r="A179" s="6" t="s">
        <v>144</v>
      </c>
      <c r="B179" s="6">
        <v>9</v>
      </c>
      <c r="C179" s="6">
        <v>177</v>
      </c>
      <c r="D179" s="6">
        <v>12</v>
      </c>
      <c r="E179" s="6">
        <v>3</v>
      </c>
      <c r="F179" s="7">
        <f t="shared" si="19"/>
        <v>19.666666666666668</v>
      </c>
      <c r="G179" s="6"/>
      <c r="H179" s="6"/>
      <c r="I179" s="7"/>
      <c r="J179" s="6"/>
      <c r="K179" s="6"/>
      <c r="L179" s="6">
        <v>14</v>
      </c>
      <c r="M179" s="6">
        <v>177</v>
      </c>
      <c r="N179" s="6">
        <v>12</v>
      </c>
      <c r="O179" s="6">
        <v>3</v>
      </c>
      <c r="P179" s="7">
        <f t="shared" si="23"/>
        <v>19.666666666666668</v>
      </c>
      <c r="Q179" s="6"/>
      <c r="R179" s="6"/>
      <c r="S179" s="7"/>
      <c r="T179" s="6"/>
      <c r="U179" s="6"/>
      <c r="V179" s="6"/>
      <c r="W179" s="6"/>
      <c r="X179" s="6"/>
      <c r="Y179" s="7"/>
      <c r="Z179" s="6"/>
      <c r="AA179" s="6"/>
      <c r="AB179" s="11"/>
      <c r="AD179" s="6"/>
      <c r="AE179" s="8" t="s">
        <v>145</v>
      </c>
    </row>
    <row r="180" spans="1:31" x14ac:dyDescent="0.25">
      <c r="A180" s="6" t="s">
        <v>146</v>
      </c>
      <c r="B180" s="6">
        <v>6</v>
      </c>
      <c r="C180" s="6">
        <v>29</v>
      </c>
      <c r="D180" s="6">
        <v>4</v>
      </c>
      <c r="E180" s="6"/>
      <c r="F180" s="7">
        <f t="shared" si="19"/>
        <v>7.25</v>
      </c>
      <c r="G180" s="6">
        <v>4</v>
      </c>
      <c r="H180" s="6">
        <v>78</v>
      </c>
      <c r="I180" s="7">
        <f t="shared" si="18"/>
        <v>19.5</v>
      </c>
      <c r="J180" s="6"/>
      <c r="K180" s="6"/>
      <c r="L180" s="6">
        <v>6</v>
      </c>
      <c r="M180" s="6">
        <v>29</v>
      </c>
      <c r="N180" s="6">
        <v>4</v>
      </c>
      <c r="O180" s="6"/>
      <c r="P180" s="7">
        <f t="shared" si="23"/>
        <v>7.25</v>
      </c>
      <c r="Q180" s="6">
        <v>4</v>
      </c>
      <c r="R180" s="6">
        <v>78</v>
      </c>
      <c r="S180" s="7">
        <f t="shared" si="26"/>
        <v>19.5</v>
      </c>
      <c r="T180" s="6"/>
      <c r="U180" s="6"/>
      <c r="V180" s="6"/>
      <c r="W180" s="6"/>
      <c r="X180" s="6"/>
      <c r="Y180" s="7"/>
      <c r="Z180" s="6"/>
      <c r="AA180" s="6"/>
      <c r="AB180" s="11"/>
      <c r="AD180" s="6"/>
      <c r="AE180" s="8" t="s">
        <v>147</v>
      </c>
    </row>
    <row r="181" spans="1:31" x14ac:dyDescent="0.25">
      <c r="A181" s="6" t="s">
        <v>148</v>
      </c>
      <c r="B181" s="6">
        <v>41</v>
      </c>
      <c r="C181" s="6">
        <v>292</v>
      </c>
      <c r="D181" s="6">
        <v>38</v>
      </c>
      <c r="E181" s="6">
        <v>20</v>
      </c>
      <c r="F181" s="7">
        <f t="shared" si="19"/>
        <v>16.222222222222221</v>
      </c>
      <c r="G181" s="6">
        <v>76</v>
      </c>
      <c r="H181" s="6">
        <v>1338</v>
      </c>
      <c r="I181" s="7">
        <f t="shared" si="18"/>
        <v>17.605263157894736</v>
      </c>
      <c r="J181" s="6"/>
      <c r="K181" s="6"/>
      <c r="L181" s="6">
        <v>44</v>
      </c>
      <c r="M181" s="6">
        <v>227</v>
      </c>
      <c r="N181" s="6">
        <v>28</v>
      </c>
      <c r="O181" s="6">
        <v>13</v>
      </c>
      <c r="P181" s="7">
        <f t="shared" si="23"/>
        <v>15.133333333333333</v>
      </c>
      <c r="Q181" s="6">
        <v>48</v>
      </c>
      <c r="R181" s="6">
        <v>957</v>
      </c>
      <c r="S181" s="7">
        <f t="shared" si="26"/>
        <v>19.9375</v>
      </c>
      <c r="T181" s="6"/>
      <c r="U181" s="6"/>
      <c r="V181" s="6"/>
      <c r="W181" s="6"/>
      <c r="X181" s="6"/>
      <c r="Y181" s="7"/>
      <c r="Z181" s="6"/>
      <c r="AA181" s="6"/>
      <c r="AB181" s="11"/>
      <c r="AD181" s="6"/>
      <c r="AE181" s="8" t="s">
        <v>657</v>
      </c>
    </row>
    <row r="182" spans="1:31" x14ac:dyDescent="0.25">
      <c r="A182" s="6" t="s">
        <v>149</v>
      </c>
      <c r="B182" s="6">
        <v>5</v>
      </c>
      <c r="C182" s="6">
        <v>6</v>
      </c>
      <c r="D182" s="6">
        <v>4</v>
      </c>
      <c r="E182" s="6">
        <v>3</v>
      </c>
      <c r="F182" s="7">
        <f t="shared" si="19"/>
        <v>6</v>
      </c>
      <c r="G182" s="6"/>
      <c r="H182" s="6">
        <v>3</v>
      </c>
      <c r="I182" s="7"/>
      <c r="J182" s="6"/>
      <c r="K182" s="6"/>
      <c r="L182" s="6"/>
      <c r="M182" s="6"/>
      <c r="N182" s="6"/>
      <c r="O182" s="6"/>
      <c r="P182" s="7"/>
      <c r="Q182" s="6"/>
      <c r="R182" s="6"/>
      <c r="S182" s="7"/>
      <c r="T182" s="6"/>
      <c r="U182" s="6"/>
      <c r="V182" s="6"/>
      <c r="W182" s="6"/>
      <c r="X182" s="6"/>
      <c r="Y182" s="7"/>
      <c r="Z182" s="6"/>
      <c r="AA182" s="6"/>
      <c r="AB182" s="11"/>
    </row>
    <row r="183" spans="1:31" x14ac:dyDescent="0.25">
      <c r="A183" s="6" t="s">
        <v>150</v>
      </c>
      <c r="B183" s="6">
        <v>66</v>
      </c>
      <c r="C183" s="6">
        <v>1856</v>
      </c>
      <c r="D183" s="6">
        <v>66</v>
      </c>
      <c r="E183" s="6">
        <v>22</v>
      </c>
      <c r="F183" s="7">
        <f t="shared" si="19"/>
        <v>42.18181818181818</v>
      </c>
      <c r="G183" s="6">
        <v>69</v>
      </c>
      <c r="H183" s="6">
        <v>1187</v>
      </c>
      <c r="I183" s="7">
        <f t="shared" si="18"/>
        <v>17.202898550724637</v>
      </c>
      <c r="J183" s="6"/>
      <c r="K183" s="6"/>
      <c r="L183" s="6"/>
      <c r="M183" s="6"/>
      <c r="N183" s="6"/>
      <c r="O183" s="6"/>
      <c r="P183" s="7"/>
      <c r="Q183" s="6"/>
      <c r="R183" s="6"/>
      <c r="S183" s="7"/>
      <c r="T183" s="6"/>
      <c r="U183" s="6"/>
      <c r="V183" s="6"/>
      <c r="W183" s="6"/>
      <c r="X183" s="6"/>
      <c r="Y183" s="7"/>
      <c r="Z183" s="6"/>
      <c r="AA183" s="6"/>
      <c r="AB183" s="11"/>
    </row>
    <row r="184" spans="1:31" x14ac:dyDescent="0.25">
      <c r="A184" s="6" t="s">
        <v>151</v>
      </c>
      <c r="B184" s="6">
        <v>42</v>
      </c>
      <c r="C184" s="6">
        <v>668</v>
      </c>
      <c r="D184" s="6">
        <v>45</v>
      </c>
      <c r="E184" s="6">
        <v>16</v>
      </c>
      <c r="F184" s="7">
        <f t="shared" si="19"/>
        <v>23.03448275862069</v>
      </c>
      <c r="G184" s="6">
        <v>26</v>
      </c>
      <c r="H184" s="6">
        <v>192</v>
      </c>
      <c r="I184" s="7">
        <f t="shared" si="18"/>
        <v>7.384615384615385</v>
      </c>
      <c r="J184" s="6"/>
      <c r="K184" s="6"/>
      <c r="L184" s="6"/>
      <c r="M184" s="6"/>
      <c r="N184" s="6"/>
      <c r="O184" s="6"/>
      <c r="P184" s="7"/>
      <c r="Q184" s="6"/>
      <c r="R184" s="6"/>
      <c r="S184" s="7"/>
      <c r="T184" s="6"/>
      <c r="U184" s="6"/>
      <c r="V184" s="6"/>
      <c r="W184" s="6"/>
      <c r="X184" s="6"/>
      <c r="Y184" s="7"/>
      <c r="Z184" s="6"/>
      <c r="AA184" s="6"/>
      <c r="AB184" s="11"/>
    </row>
    <row r="185" spans="1:31" x14ac:dyDescent="0.25">
      <c r="A185" s="6" t="s">
        <v>152</v>
      </c>
      <c r="B185" s="6">
        <v>217</v>
      </c>
      <c r="C185" s="6">
        <v>6311</v>
      </c>
      <c r="D185" s="6">
        <v>232</v>
      </c>
      <c r="E185" s="6">
        <v>29</v>
      </c>
      <c r="F185" s="7">
        <f t="shared" si="19"/>
        <v>31.088669950738915</v>
      </c>
      <c r="G185" s="6">
        <v>27</v>
      </c>
      <c r="H185" s="6">
        <v>726</v>
      </c>
      <c r="I185" s="7">
        <f t="shared" si="18"/>
        <v>26.888888888888889</v>
      </c>
      <c r="J185" s="6"/>
      <c r="K185" s="6"/>
      <c r="L185" s="6">
        <v>52</v>
      </c>
      <c r="M185" s="6">
        <v>634</v>
      </c>
      <c r="N185" s="6">
        <v>35</v>
      </c>
      <c r="O185" s="6">
        <v>7</v>
      </c>
      <c r="P185" s="7">
        <f t="shared" si="23"/>
        <v>22.642857142857142</v>
      </c>
      <c r="Q185" s="6">
        <v>14</v>
      </c>
      <c r="R185" s="6">
        <v>271</v>
      </c>
      <c r="S185" s="7">
        <f t="shared" si="26"/>
        <v>19.357142857142858</v>
      </c>
      <c r="T185" s="6"/>
      <c r="U185" s="6"/>
      <c r="V185" s="6"/>
      <c r="W185" s="6"/>
      <c r="X185" s="6"/>
      <c r="Y185" s="7"/>
      <c r="Z185" s="6"/>
      <c r="AA185" s="6"/>
      <c r="AB185" s="11"/>
      <c r="AD185" s="6"/>
      <c r="AE185" s="8" t="s">
        <v>783</v>
      </c>
    </row>
    <row r="186" spans="1:31" x14ac:dyDescent="0.25">
      <c r="A186" s="6" t="s">
        <v>153</v>
      </c>
      <c r="B186" s="6">
        <v>11</v>
      </c>
      <c r="C186" s="6">
        <v>180</v>
      </c>
      <c r="D186" s="6">
        <v>10</v>
      </c>
      <c r="E186" s="6"/>
      <c r="F186" s="7">
        <f t="shared" si="19"/>
        <v>18</v>
      </c>
      <c r="G186" s="6"/>
      <c r="H186" s="6">
        <v>1</v>
      </c>
      <c r="I186" s="7"/>
      <c r="J186" s="6"/>
      <c r="K186" s="6"/>
      <c r="L186" s="6"/>
      <c r="M186" s="6"/>
      <c r="N186" s="6"/>
      <c r="O186" s="6"/>
      <c r="P186" s="7"/>
      <c r="Q186" s="6"/>
      <c r="R186" s="6"/>
      <c r="S186" s="7"/>
      <c r="T186" s="6"/>
      <c r="U186" s="6"/>
      <c r="V186" s="6"/>
      <c r="W186" s="6"/>
      <c r="X186" s="6"/>
      <c r="Y186" s="7"/>
      <c r="Z186" s="6"/>
      <c r="AA186" s="6"/>
      <c r="AB186" s="11"/>
    </row>
    <row r="187" spans="1:31" x14ac:dyDescent="0.25">
      <c r="A187" s="6" t="s">
        <v>1129</v>
      </c>
      <c r="B187" s="6">
        <v>12.5</v>
      </c>
      <c r="C187" s="6">
        <v>269</v>
      </c>
      <c r="D187" s="6">
        <v>11</v>
      </c>
      <c r="E187" s="6"/>
      <c r="F187" s="7">
        <f t="shared" si="19"/>
        <v>24.454545454545453</v>
      </c>
      <c r="G187" s="6">
        <v>4</v>
      </c>
      <c r="H187" s="6">
        <v>109</v>
      </c>
      <c r="I187" s="7">
        <f t="shared" si="18"/>
        <v>27.25</v>
      </c>
      <c r="J187" s="6"/>
      <c r="K187" s="6"/>
      <c r="L187" s="6"/>
      <c r="M187" s="6"/>
      <c r="N187" s="6"/>
      <c r="O187" s="6"/>
      <c r="P187" s="7"/>
      <c r="Q187" s="6"/>
      <c r="R187" s="6"/>
      <c r="S187" s="7"/>
      <c r="T187" s="6"/>
      <c r="U187" s="6"/>
      <c r="V187" s="6"/>
      <c r="W187" s="6"/>
      <c r="X187" s="6"/>
      <c r="Y187" s="7"/>
      <c r="Z187" s="6"/>
      <c r="AA187" s="6"/>
      <c r="AB187" s="11"/>
      <c r="AE187" s="1" t="s">
        <v>1130</v>
      </c>
    </row>
    <row r="188" spans="1:31" x14ac:dyDescent="0.25">
      <c r="A188" s="6" t="s">
        <v>154</v>
      </c>
      <c r="B188" s="6">
        <v>218</v>
      </c>
      <c r="C188" s="6">
        <v>1320</v>
      </c>
      <c r="D188" s="6">
        <v>189</v>
      </c>
      <c r="E188" s="6">
        <v>65</v>
      </c>
      <c r="F188" s="7">
        <f t="shared" si="19"/>
        <v>10.64516129032258</v>
      </c>
      <c r="G188" s="6">
        <v>456</v>
      </c>
      <c r="H188" s="6">
        <v>7597</v>
      </c>
      <c r="I188" s="7">
        <f t="shared" si="18"/>
        <v>16.660087719298247</v>
      </c>
      <c r="J188" s="6"/>
      <c r="K188" s="6"/>
      <c r="L188" s="6"/>
      <c r="M188" s="6"/>
      <c r="N188" s="6"/>
      <c r="O188" s="6"/>
      <c r="P188" s="7"/>
      <c r="Q188" s="6"/>
      <c r="R188" s="6"/>
      <c r="S188" s="7"/>
      <c r="T188" s="6"/>
      <c r="U188" s="6"/>
      <c r="V188" s="6"/>
      <c r="W188" s="6"/>
      <c r="X188" s="6"/>
      <c r="Y188" s="7"/>
      <c r="Z188" s="6"/>
      <c r="AA188" s="6"/>
      <c r="AB188" s="11"/>
    </row>
    <row r="189" spans="1:31" x14ac:dyDescent="0.25">
      <c r="A189" s="6" t="s">
        <v>155</v>
      </c>
      <c r="B189" s="6">
        <v>4</v>
      </c>
      <c r="C189" s="6">
        <v>14</v>
      </c>
      <c r="D189" s="6">
        <v>5</v>
      </c>
      <c r="E189" s="6">
        <v>2</v>
      </c>
      <c r="F189" s="7">
        <f t="shared" si="19"/>
        <v>4.666666666666667</v>
      </c>
      <c r="G189" s="6"/>
      <c r="H189" s="6"/>
      <c r="I189" s="7"/>
      <c r="J189" s="6"/>
      <c r="K189" s="6"/>
      <c r="L189" s="6"/>
      <c r="M189" s="6"/>
      <c r="N189" s="6"/>
      <c r="O189" s="6"/>
      <c r="P189" s="7"/>
      <c r="Q189" s="6"/>
      <c r="R189" s="6"/>
      <c r="S189" s="7"/>
      <c r="T189" s="6"/>
      <c r="U189" s="6"/>
      <c r="V189" s="6"/>
      <c r="W189" s="6"/>
      <c r="X189" s="6"/>
      <c r="Y189" s="7"/>
      <c r="Z189" s="6"/>
      <c r="AA189" s="6"/>
      <c r="AB189" s="11"/>
    </row>
    <row r="190" spans="1:31" x14ac:dyDescent="0.25">
      <c r="A190" s="6" t="s">
        <v>156</v>
      </c>
      <c r="B190" s="6">
        <v>53</v>
      </c>
      <c r="C190" s="6">
        <v>514</v>
      </c>
      <c r="D190" s="6">
        <v>50</v>
      </c>
      <c r="E190" s="6">
        <v>7</v>
      </c>
      <c r="F190" s="7">
        <f t="shared" ref="F190:F276" si="28">(C190/(D190-E190))</f>
        <v>11.953488372093023</v>
      </c>
      <c r="G190" s="6">
        <v>59</v>
      </c>
      <c r="H190" s="6">
        <v>1067</v>
      </c>
      <c r="I190" s="7">
        <f t="shared" ref="I190:I276" si="29">(H190/G190)</f>
        <v>18.084745762711865</v>
      </c>
      <c r="J190" s="6"/>
      <c r="K190" s="6"/>
      <c r="L190" s="6"/>
      <c r="M190" s="6"/>
      <c r="N190" s="6"/>
      <c r="O190" s="6"/>
      <c r="P190" s="7"/>
      <c r="Q190" s="6"/>
      <c r="R190" s="6"/>
      <c r="S190" s="7"/>
      <c r="T190" s="6"/>
      <c r="U190" s="6"/>
      <c r="V190" s="6"/>
      <c r="W190" s="6"/>
      <c r="X190" s="6"/>
      <c r="Y190" s="7"/>
      <c r="Z190" s="6"/>
      <c r="AA190" s="6"/>
      <c r="AB190" s="11"/>
    </row>
    <row r="191" spans="1:31" x14ac:dyDescent="0.25">
      <c r="A191" s="6" t="s">
        <v>157</v>
      </c>
      <c r="B191" s="6">
        <v>65</v>
      </c>
      <c r="C191" s="6">
        <v>1110</v>
      </c>
      <c r="D191" s="6">
        <v>55</v>
      </c>
      <c r="E191" s="6">
        <v>11</v>
      </c>
      <c r="F191" s="7">
        <f t="shared" si="28"/>
        <v>25.227272727272727</v>
      </c>
      <c r="G191" s="6">
        <v>10</v>
      </c>
      <c r="H191" s="6">
        <v>132</v>
      </c>
      <c r="I191" s="7">
        <f t="shared" si="29"/>
        <v>13.2</v>
      </c>
      <c r="J191" s="6"/>
      <c r="K191" s="6"/>
      <c r="L191" s="6">
        <v>1</v>
      </c>
      <c r="M191" s="6">
        <v>8</v>
      </c>
      <c r="N191" s="6">
        <v>1</v>
      </c>
      <c r="O191" s="6"/>
      <c r="P191" s="7">
        <f t="shared" si="23"/>
        <v>8</v>
      </c>
      <c r="Q191" s="6"/>
      <c r="R191" s="6"/>
      <c r="S191" s="7"/>
      <c r="T191" s="6"/>
      <c r="U191" s="6"/>
      <c r="V191" s="6"/>
      <c r="W191" s="6"/>
      <c r="X191" s="6"/>
      <c r="Y191" s="7"/>
      <c r="Z191" s="6"/>
      <c r="AA191" s="6"/>
      <c r="AB191" s="11"/>
      <c r="AD191" s="6"/>
      <c r="AE191" s="8" t="s">
        <v>158</v>
      </c>
    </row>
    <row r="192" spans="1:31" x14ac:dyDescent="0.25">
      <c r="A192" s="6" t="s">
        <v>159</v>
      </c>
      <c r="B192" s="6">
        <v>48</v>
      </c>
      <c r="C192" s="6">
        <v>704</v>
      </c>
      <c r="D192" s="6">
        <v>51</v>
      </c>
      <c r="E192" s="6">
        <v>7</v>
      </c>
      <c r="F192" s="7">
        <f t="shared" si="28"/>
        <v>16</v>
      </c>
      <c r="G192" s="6">
        <v>89</v>
      </c>
      <c r="H192" s="6">
        <v>1730</v>
      </c>
      <c r="I192" s="7">
        <f t="shared" si="29"/>
        <v>19.438202247191011</v>
      </c>
      <c r="J192" s="6"/>
      <c r="K192" s="6"/>
      <c r="L192" s="6"/>
      <c r="M192" s="6"/>
      <c r="N192" s="6"/>
      <c r="O192" s="6"/>
      <c r="P192" s="7"/>
      <c r="Q192" s="6"/>
      <c r="R192" s="6"/>
      <c r="S192" s="7"/>
      <c r="T192" s="6"/>
      <c r="U192" s="6"/>
      <c r="V192" s="6"/>
      <c r="W192" s="6"/>
      <c r="X192" s="6"/>
      <c r="Y192" s="7"/>
      <c r="Z192" s="6"/>
      <c r="AA192" s="6"/>
      <c r="AB192" s="11"/>
    </row>
    <row r="193" spans="1:31" x14ac:dyDescent="0.25">
      <c r="A193" s="6" t="s">
        <v>629</v>
      </c>
      <c r="B193" s="6">
        <v>193</v>
      </c>
      <c r="C193" s="6">
        <v>3093</v>
      </c>
      <c r="D193" s="6">
        <v>172</v>
      </c>
      <c r="E193" s="6">
        <v>21</v>
      </c>
      <c r="F193" s="7">
        <f t="shared" si="28"/>
        <v>20.483443708609272</v>
      </c>
      <c r="G193" s="6">
        <v>232</v>
      </c>
      <c r="H193" s="6">
        <v>5105</v>
      </c>
      <c r="I193" s="7">
        <f t="shared" si="29"/>
        <v>22.004310344827587</v>
      </c>
      <c r="J193" s="6"/>
      <c r="K193" s="6"/>
      <c r="L193" s="6">
        <v>9</v>
      </c>
      <c r="M193" s="6">
        <v>262</v>
      </c>
      <c r="N193" s="6">
        <v>5</v>
      </c>
      <c r="O193" s="6">
        <v>4</v>
      </c>
      <c r="P193" s="7">
        <f t="shared" si="23"/>
        <v>262</v>
      </c>
      <c r="Q193" s="6">
        <v>13</v>
      </c>
      <c r="R193" s="6">
        <v>204</v>
      </c>
      <c r="S193" s="7">
        <f t="shared" si="26"/>
        <v>15.692307692307692</v>
      </c>
      <c r="T193" s="6"/>
      <c r="U193" s="6"/>
      <c r="V193" s="6"/>
      <c r="W193" s="6"/>
      <c r="X193" s="6"/>
      <c r="Y193" s="7"/>
      <c r="Z193" s="6"/>
      <c r="AA193" s="6"/>
      <c r="AB193" s="11"/>
      <c r="AD193" s="6"/>
      <c r="AE193" s="8" t="s">
        <v>160</v>
      </c>
    </row>
    <row r="194" spans="1:31" x14ac:dyDescent="0.25">
      <c r="A194" s="6" t="s">
        <v>161</v>
      </c>
      <c r="B194" s="6">
        <v>24</v>
      </c>
      <c r="C194" s="6">
        <v>192</v>
      </c>
      <c r="D194" s="6">
        <v>20</v>
      </c>
      <c r="E194" s="6">
        <v>7</v>
      </c>
      <c r="F194" s="7">
        <f t="shared" si="28"/>
        <v>14.76923076923077</v>
      </c>
      <c r="G194" s="6">
        <v>71</v>
      </c>
      <c r="H194" s="6">
        <v>1140</v>
      </c>
      <c r="I194" s="7">
        <f t="shared" si="29"/>
        <v>16.056338028169016</v>
      </c>
      <c r="J194" s="6"/>
      <c r="K194" s="6"/>
      <c r="L194" s="6"/>
      <c r="M194" s="6"/>
      <c r="N194" s="6"/>
      <c r="O194" s="6"/>
      <c r="P194" s="7"/>
      <c r="Q194" s="6"/>
      <c r="R194" s="6"/>
      <c r="S194" s="7"/>
      <c r="T194" s="6"/>
      <c r="U194" s="6"/>
      <c r="V194" s="6"/>
      <c r="W194" s="6"/>
      <c r="X194" s="6"/>
      <c r="Y194" s="7"/>
      <c r="Z194" s="6"/>
      <c r="AA194" s="6"/>
      <c r="AB194" s="11"/>
    </row>
    <row r="195" spans="1:31" x14ac:dyDescent="0.25">
      <c r="A195" s="6" t="s">
        <v>162</v>
      </c>
      <c r="B195" s="6">
        <v>81</v>
      </c>
      <c r="C195" s="6">
        <v>2273</v>
      </c>
      <c r="D195" s="6">
        <v>82</v>
      </c>
      <c r="E195" s="6">
        <v>11</v>
      </c>
      <c r="F195" s="7">
        <f t="shared" si="28"/>
        <v>32.014084507042256</v>
      </c>
      <c r="G195" s="6">
        <v>98</v>
      </c>
      <c r="H195" s="6">
        <v>1326</v>
      </c>
      <c r="I195" s="7">
        <f t="shared" si="29"/>
        <v>13.530612244897959</v>
      </c>
      <c r="J195" s="6"/>
      <c r="K195" s="6"/>
      <c r="L195" s="6"/>
      <c r="M195" s="6"/>
      <c r="N195" s="6"/>
      <c r="O195" s="6"/>
      <c r="P195" s="7"/>
      <c r="Q195" s="6"/>
      <c r="R195" s="6"/>
      <c r="S195" s="7"/>
      <c r="T195" s="6"/>
      <c r="U195" s="6"/>
      <c r="V195" s="6"/>
      <c r="W195" s="6"/>
      <c r="X195" s="6"/>
      <c r="Y195" s="7"/>
      <c r="Z195" s="6"/>
      <c r="AA195" s="6"/>
      <c r="AB195" s="11"/>
    </row>
    <row r="196" spans="1:31" x14ac:dyDescent="0.25">
      <c r="A196" s="6" t="s">
        <v>163</v>
      </c>
      <c r="B196" s="6">
        <v>14</v>
      </c>
      <c r="C196" s="6">
        <v>253</v>
      </c>
      <c r="D196" s="6">
        <v>16</v>
      </c>
      <c r="E196" s="6"/>
      <c r="F196" s="7">
        <f t="shared" si="28"/>
        <v>15.8125</v>
      </c>
      <c r="G196" s="6">
        <v>2</v>
      </c>
      <c r="H196" s="6">
        <v>27</v>
      </c>
      <c r="I196" s="7">
        <f t="shared" si="29"/>
        <v>13.5</v>
      </c>
      <c r="J196" s="6"/>
      <c r="K196" s="6"/>
      <c r="L196" s="6"/>
      <c r="M196" s="6"/>
      <c r="N196" s="6"/>
      <c r="O196" s="6"/>
      <c r="P196" s="7"/>
      <c r="Q196" s="6"/>
      <c r="R196" s="6"/>
      <c r="S196" s="7"/>
      <c r="T196" s="6"/>
      <c r="U196" s="6"/>
      <c r="V196" s="6"/>
      <c r="W196" s="6"/>
      <c r="X196" s="6"/>
      <c r="Y196" s="7"/>
      <c r="Z196" s="6"/>
      <c r="AA196" s="6"/>
      <c r="AB196" s="11"/>
    </row>
    <row r="197" spans="1:31" x14ac:dyDescent="0.25">
      <c r="A197" s="6" t="s">
        <v>164</v>
      </c>
      <c r="B197" s="6">
        <v>126</v>
      </c>
      <c r="C197" s="6">
        <v>2337</v>
      </c>
      <c r="D197" s="6">
        <v>140</v>
      </c>
      <c r="E197" s="6">
        <v>23</v>
      </c>
      <c r="F197" s="7">
        <f t="shared" si="28"/>
        <v>19.974358974358974</v>
      </c>
      <c r="G197" s="6">
        <v>84</v>
      </c>
      <c r="H197" s="6">
        <v>2098</v>
      </c>
      <c r="I197" s="7">
        <f t="shared" si="29"/>
        <v>24.976190476190474</v>
      </c>
      <c r="J197" s="6"/>
      <c r="K197" s="6"/>
      <c r="L197" s="6">
        <v>37</v>
      </c>
      <c r="M197" s="6">
        <v>730</v>
      </c>
      <c r="N197" s="6">
        <v>32</v>
      </c>
      <c r="O197" s="6">
        <v>10</v>
      </c>
      <c r="P197" s="7">
        <f t="shared" si="23"/>
        <v>33.18181818181818</v>
      </c>
      <c r="Q197" s="6">
        <v>11</v>
      </c>
      <c r="R197" s="6">
        <v>400</v>
      </c>
      <c r="S197" s="7">
        <f t="shared" si="26"/>
        <v>36.363636363636367</v>
      </c>
      <c r="T197" s="6"/>
      <c r="U197" s="6"/>
      <c r="V197" s="6"/>
      <c r="W197" s="6"/>
      <c r="X197" s="6"/>
      <c r="Y197" s="7"/>
      <c r="Z197" s="6"/>
      <c r="AA197" s="6"/>
      <c r="AB197" s="11"/>
      <c r="AD197" s="6"/>
      <c r="AE197" s="8" t="s">
        <v>165</v>
      </c>
    </row>
    <row r="198" spans="1:31" x14ac:dyDescent="0.25">
      <c r="A198" s="6" t="s">
        <v>639</v>
      </c>
      <c r="B198" s="6">
        <v>13</v>
      </c>
      <c r="C198" s="6">
        <v>257</v>
      </c>
      <c r="D198" s="6">
        <v>12</v>
      </c>
      <c r="E198" s="6"/>
      <c r="F198" s="7">
        <f t="shared" si="28"/>
        <v>21.416666666666668</v>
      </c>
      <c r="G198" s="6">
        <v>3</v>
      </c>
      <c r="H198" s="6">
        <v>102</v>
      </c>
      <c r="I198" s="7">
        <f t="shared" si="29"/>
        <v>34</v>
      </c>
      <c r="J198" s="6"/>
      <c r="K198" s="6"/>
      <c r="L198" s="6">
        <v>2</v>
      </c>
      <c r="M198" s="6"/>
      <c r="N198" s="6"/>
      <c r="O198" s="6"/>
      <c r="P198" s="7"/>
      <c r="Q198" s="6"/>
      <c r="R198" s="6"/>
      <c r="S198" s="7"/>
      <c r="T198" s="6"/>
      <c r="U198" s="6"/>
      <c r="V198" s="6"/>
      <c r="W198" s="6"/>
      <c r="X198" s="6"/>
      <c r="Y198" s="7"/>
      <c r="Z198" s="6"/>
      <c r="AA198" s="6"/>
      <c r="AB198" s="11"/>
      <c r="AD198" s="6"/>
      <c r="AE198" s="8" t="s">
        <v>640</v>
      </c>
    </row>
    <row r="199" spans="1:31" x14ac:dyDescent="0.25">
      <c r="A199" s="6" t="s">
        <v>166</v>
      </c>
      <c r="B199" s="6">
        <v>15</v>
      </c>
      <c r="C199" s="6">
        <v>69</v>
      </c>
      <c r="D199" s="6">
        <v>14</v>
      </c>
      <c r="E199" s="6">
        <v>4</v>
      </c>
      <c r="F199" s="7">
        <f t="shared" si="28"/>
        <v>6.9</v>
      </c>
      <c r="G199" s="6">
        <v>1</v>
      </c>
      <c r="H199" s="6">
        <v>47</v>
      </c>
      <c r="I199" s="7">
        <f t="shared" si="29"/>
        <v>47</v>
      </c>
      <c r="J199" s="6"/>
      <c r="K199" s="6"/>
      <c r="L199" s="6"/>
      <c r="M199" s="6"/>
      <c r="N199" s="6"/>
      <c r="O199" s="6"/>
      <c r="P199" s="7"/>
      <c r="Q199" s="6"/>
      <c r="R199" s="6"/>
      <c r="S199" s="7"/>
      <c r="T199" s="6"/>
      <c r="U199" s="6"/>
      <c r="V199" s="6"/>
      <c r="W199" s="6"/>
      <c r="X199" s="6"/>
      <c r="Y199" s="7"/>
      <c r="Z199" s="6"/>
      <c r="AA199" s="6"/>
      <c r="AB199" s="11"/>
    </row>
    <row r="200" spans="1:31" x14ac:dyDescent="0.25">
      <c r="A200" s="6" t="s">
        <v>167</v>
      </c>
      <c r="B200" s="6">
        <v>150</v>
      </c>
      <c r="C200" s="6">
        <v>1873</v>
      </c>
      <c r="D200" s="6">
        <v>135</v>
      </c>
      <c r="E200" s="6">
        <v>19</v>
      </c>
      <c r="F200" s="7">
        <f t="shared" si="28"/>
        <v>16.146551724137932</v>
      </c>
      <c r="G200" s="6">
        <v>256</v>
      </c>
      <c r="H200" s="6">
        <v>4697</v>
      </c>
      <c r="I200" s="7">
        <f t="shared" si="29"/>
        <v>18.34765625</v>
      </c>
      <c r="J200" s="6"/>
      <c r="K200" s="6"/>
      <c r="L200" s="6"/>
      <c r="M200" s="6"/>
      <c r="N200" s="6"/>
      <c r="O200" s="6"/>
      <c r="P200" s="7"/>
      <c r="Q200" s="6"/>
      <c r="R200" s="6"/>
      <c r="S200" s="7"/>
      <c r="T200" s="6"/>
      <c r="U200" s="6"/>
      <c r="V200" s="6"/>
      <c r="W200" s="6"/>
      <c r="X200" s="6"/>
      <c r="Y200" s="7"/>
      <c r="Z200" s="6"/>
      <c r="AA200" s="6"/>
      <c r="AB200" s="11"/>
    </row>
    <row r="201" spans="1:31" x14ac:dyDescent="0.25">
      <c r="A201" s="6" t="s">
        <v>168</v>
      </c>
      <c r="B201" s="6">
        <v>5</v>
      </c>
      <c r="C201" s="6">
        <v>153</v>
      </c>
      <c r="D201" s="6">
        <v>6</v>
      </c>
      <c r="E201" s="6">
        <v>1</v>
      </c>
      <c r="F201" s="7">
        <f t="shared" si="28"/>
        <v>30.6</v>
      </c>
      <c r="G201" s="6">
        <v>3</v>
      </c>
      <c r="H201" s="6">
        <v>19</v>
      </c>
      <c r="I201" s="7">
        <f t="shared" si="29"/>
        <v>6.333333333333333</v>
      </c>
      <c r="J201" s="6"/>
      <c r="K201" s="6"/>
      <c r="L201" s="6"/>
      <c r="M201" s="6"/>
      <c r="N201" s="6"/>
      <c r="O201" s="6"/>
      <c r="P201" s="7"/>
      <c r="Q201" s="6"/>
      <c r="R201" s="6"/>
      <c r="S201" s="7"/>
      <c r="T201" s="6"/>
      <c r="U201" s="6"/>
      <c r="V201" s="6"/>
      <c r="W201" s="6"/>
      <c r="X201" s="6"/>
      <c r="Y201" s="7"/>
      <c r="Z201" s="6"/>
      <c r="AA201" s="6"/>
      <c r="AB201" s="11"/>
    </row>
    <row r="202" spans="1:31" x14ac:dyDescent="0.25">
      <c r="A202" s="6" t="s">
        <v>1016</v>
      </c>
      <c r="B202" s="6">
        <v>0.5</v>
      </c>
      <c r="C202" s="6"/>
      <c r="D202" s="6">
        <v>1</v>
      </c>
      <c r="E202" s="6">
        <v>1</v>
      </c>
      <c r="F202" s="7"/>
      <c r="G202" s="6">
        <v>2</v>
      </c>
      <c r="H202" s="6">
        <v>18</v>
      </c>
      <c r="I202" s="7">
        <f t="shared" si="29"/>
        <v>9</v>
      </c>
      <c r="J202" s="6"/>
      <c r="K202" s="6"/>
      <c r="L202" s="6"/>
      <c r="M202" s="6"/>
      <c r="N202" s="6"/>
      <c r="O202" s="6"/>
      <c r="P202" s="7"/>
      <c r="Q202" s="6"/>
      <c r="R202" s="6"/>
      <c r="S202" s="7"/>
      <c r="T202" s="6"/>
      <c r="U202" s="6">
        <v>1</v>
      </c>
      <c r="V202" s="6"/>
      <c r="W202" s="6">
        <v>1</v>
      </c>
      <c r="X202" s="6">
        <v>1</v>
      </c>
      <c r="Y202" s="7"/>
      <c r="Z202" s="6">
        <v>2</v>
      </c>
      <c r="AA202" s="6">
        <v>18</v>
      </c>
      <c r="AB202" s="11">
        <f t="shared" si="27"/>
        <v>9</v>
      </c>
      <c r="AE202" s="1" t="s">
        <v>939</v>
      </c>
    </row>
    <row r="203" spans="1:31" x14ac:dyDescent="0.25">
      <c r="A203" s="6" t="s">
        <v>169</v>
      </c>
      <c r="B203" s="6">
        <v>26</v>
      </c>
      <c r="C203" s="6">
        <v>145</v>
      </c>
      <c r="D203" s="6">
        <v>25</v>
      </c>
      <c r="E203" s="6">
        <v>5</v>
      </c>
      <c r="F203" s="7">
        <f t="shared" si="28"/>
        <v>7.25</v>
      </c>
      <c r="G203" s="6">
        <v>24</v>
      </c>
      <c r="H203" s="6">
        <v>387</v>
      </c>
      <c r="I203" s="7">
        <f t="shared" si="29"/>
        <v>16.125</v>
      </c>
      <c r="J203" s="6"/>
      <c r="K203" s="6"/>
      <c r="L203" s="6"/>
      <c r="M203" s="6"/>
      <c r="N203" s="6"/>
      <c r="O203" s="6"/>
      <c r="P203" s="7"/>
      <c r="Q203" s="6"/>
      <c r="R203" s="6"/>
      <c r="S203" s="7"/>
      <c r="T203" s="6"/>
      <c r="U203" s="6"/>
      <c r="V203" s="6"/>
      <c r="W203" s="6"/>
      <c r="X203" s="6"/>
      <c r="Y203" s="7"/>
      <c r="Z203" s="6"/>
      <c r="AA203" s="6"/>
      <c r="AB203" s="11"/>
    </row>
    <row r="204" spans="1:31" x14ac:dyDescent="0.25">
      <c r="A204" s="6" t="s">
        <v>170</v>
      </c>
      <c r="B204" s="6">
        <v>24</v>
      </c>
      <c r="C204" s="6">
        <v>261</v>
      </c>
      <c r="D204" s="6">
        <v>19</v>
      </c>
      <c r="E204" s="6">
        <v>3</v>
      </c>
      <c r="F204" s="7">
        <f t="shared" si="28"/>
        <v>16.3125</v>
      </c>
      <c r="G204" s="6">
        <v>27</v>
      </c>
      <c r="H204" s="6">
        <v>737</v>
      </c>
      <c r="I204" s="7">
        <f t="shared" si="29"/>
        <v>27.296296296296298</v>
      </c>
      <c r="J204" s="6"/>
      <c r="K204" s="6"/>
      <c r="L204" s="6">
        <v>2</v>
      </c>
      <c r="M204" s="6">
        <v>65</v>
      </c>
      <c r="N204" s="6">
        <v>2</v>
      </c>
      <c r="O204" s="6">
        <v>1</v>
      </c>
      <c r="P204" s="7">
        <f t="shared" ref="P204" si="30">(M204/(N204-O204))</f>
        <v>65</v>
      </c>
      <c r="Q204" s="6">
        <v>1</v>
      </c>
      <c r="R204" s="6">
        <v>47</v>
      </c>
      <c r="S204" s="7">
        <f t="shared" si="26"/>
        <v>47</v>
      </c>
      <c r="T204" s="6"/>
      <c r="U204" s="6"/>
      <c r="V204" s="6"/>
      <c r="W204" s="6"/>
      <c r="X204" s="6"/>
      <c r="Y204" s="7"/>
      <c r="Z204" s="6"/>
      <c r="AA204" s="6"/>
      <c r="AB204" s="11"/>
      <c r="AD204" s="6"/>
      <c r="AE204" s="8" t="s">
        <v>722</v>
      </c>
    </row>
    <row r="205" spans="1:31" x14ac:dyDescent="0.25">
      <c r="A205" s="6" t="s">
        <v>1091</v>
      </c>
      <c r="B205" s="6">
        <v>3</v>
      </c>
      <c r="C205" s="6">
        <v>12</v>
      </c>
      <c r="D205" s="6">
        <v>5</v>
      </c>
      <c r="E205" s="6">
        <v>1</v>
      </c>
      <c r="F205" s="7">
        <f t="shared" si="28"/>
        <v>3</v>
      </c>
      <c r="G205" s="6"/>
      <c r="H205" s="6"/>
      <c r="I205" s="7"/>
      <c r="J205" s="6"/>
      <c r="K205" s="6"/>
      <c r="L205" s="6"/>
      <c r="M205" s="6"/>
      <c r="N205" s="6"/>
      <c r="O205" s="6"/>
      <c r="P205" s="7"/>
      <c r="Q205" s="6"/>
      <c r="R205" s="6"/>
      <c r="S205" s="7"/>
      <c r="T205" s="6"/>
      <c r="U205" s="6">
        <v>4</v>
      </c>
      <c r="V205" s="6">
        <v>11</v>
      </c>
      <c r="W205" s="6">
        <v>4</v>
      </c>
      <c r="X205" s="6">
        <v>1</v>
      </c>
      <c r="Y205" s="7">
        <f t="shared" ref="Y205:Y207" si="31">(V205)/(W205-X205)</f>
        <v>3.6666666666666665</v>
      </c>
      <c r="Z205" s="6"/>
      <c r="AA205" s="6"/>
      <c r="AB205" s="11"/>
      <c r="AD205" s="6"/>
      <c r="AE205" s="13" t="s">
        <v>1092</v>
      </c>
    </row>
    <row r="206" spans="1:31" x14ac:dyDescent="0.25">
      <c r="A206" s="6" t="s">
        <v>171</v>
      </c>
      <c r="B206" s="6">
        <v>3</v>
      </c>
      <c r="C206" s="6">
        <v>3</v>
      </c>
      <c r="D206" s="6">
        <v>4</v>
      </c>
      <c r="E206" s="6"/>
      <c r="F206" s="7">
        <f t="shared" si="28"/>
        <v>0.75</v>
      </c>
      <c r="G206" s="6"/>
      <c r="H206" s="6"/>
      <c r="I206" s="7"/>
      <c r="J206" s="6"/>
      <c r="K206" s="6"/>
      <c r="L206" s="6"/>
      <c r="M206" s="6"/>
      <c r="N206" s="6"/>
      <c r="O206" s="6"/>
      <c r="P206" s="7"/>
      <c r="Q206" s="6"/>
      <c r="R206" s="6"/>
      <c r="S206" s="7"/>
      <c r="T206" s="6"/>
      <c r="U206" s="6"/>
      <c r="V206" s="6"/>
      <c r="W206" s="6"/>
      <c r="X206" s="6"/>
      <c r="Y206" s="7"/>
      <c r="Z206" s="6"/>
      <c r="AA206" s="6"/>
      <c r="AB206" s="11"/>
      <c r="AE206" s="13"/>
    </row>
    <row r="207" spans="1:31" x14ac:dyDescent="0.25">
      <c r="A207" s="6" t="s">
        <v>1093</v>
      </c>
      <c r="B207" s="6">
        <v>14.5</v>
      </c>
      <c r="C207" s="6">
        <v>272</v>
      </c>
      <c r="D207" s="6">
        <v>15</v>
      </c>
      <c r="E207" s="6">
        <v>4</v>
      </c>
      <c r="F207" s="7">
        <f t="shared" si="28"/>
        <v>24.727272727272727</v>
      </c>
      <c r="G207" s="6">
        <v>14</v>
      </c>
      <c r="H207" s="6">
        <v>361</v>
      </c>
      <c r="I207" s="7">
        <f t="shared" si="29"/>
        <v>25.785714285714285</v>
      </c>
      <c r="J207" s="6"/>
      <c r="K207" s="6"/>
      <c r="L207" s="6"/>
      <c r="M207" s="6"/>
      <c r="N207" s="6"/>
      <c r="O207" s="6"/>
      <c r="P207" s="7"/>
      <c r="Q207" s="6"/>
      <c r="R207" s="6"/>
      <c r="S207" s="7"/>
      <c r="T207" s="6"/>
      <c r="U207" s="6">
        <v>1</v>
      </c>
      <c r="V207" s="6">
        <v>6</v>
      </c>
      <c r="W207" s="6">
        <v>1</v>
      </c>
      <c r="X207" s="6"/>
      <c r="Y207" s="7">
        <f t="shared" si="31"/>
        <v>6</v>
      </c>
      <c r="Z207" s="6"/>
      <c r="AA207" s="6"/>
      <c r="AB207" s="11"/>
      <c r="AE207" s="8" t="s">
        <v>1132</v>
      </c>
    </row>
    <row r="208" spans="1:31" x14ac:dyDescent="0.25">
      <c r="A208" s="6" t="s">
        <v>910</v>
      </c>
      <c r="B208" s="6">
        <v>8</v>
      </c>
      <c r="C208" s="6">
        <v>144</v>
      </c>
      <c r="D208" s="6">
        <v>7</v>
      </c>
      <c r="E208" s="6"/>
      <c r="F208" s="7">
        <f t="shared" si="28"/>
        <v>20.571428571428573</v>
      </c>
      <c r="G208" s="6">
        <v>1</v>
      </c>
      <c r="H208" s="6">
        <v>13</v>
      </c>
      <c r="I208" s="7">
        <v>1</v>
      </c>
      <c r="J208" s="6">
        <v>6</v>
      </c>
      <c r="K208" s="6"/>
      <c r="L208" s="6"/>
      <c r="M208" s="6"/>
      <c r="N208" s="6"/>
      <c r="O208" s="6"/>
      <c r="P208" s="7"/>
      <c r="Q208" s="6"/>
      <c r="R208" s="6"/>
      <c r="S208" s="7"/>
      <c r="T208" s="6"/>
      <c r="U208" s="6">
        <v>2</v>
      </c>
      <c r="V208" s="6"/>
      <c r="W208" s="6"/>
      <c r="X208" s="6"/>
      <c r="Y208" s="7"/>
      <c r="Z208" s="6">
        <v>1</v>
      </c>
      <c r="AA208" s="6">
        <v>13</v>
      </c>
      <c r="AB208" s="11">
        <f t="shared" si="27"/>
        <v>13</v>
      </c>
      <c r="AE208" t="s">
        <v>1017</v>
      </c>
    </row>
    <row r="209" spans="1:33" x14ac:dyDescent="0.25">
      <c r="A209" s="6" t="s">
        <v>172</v>
      </c>
      <c r="B209" s="6">
        <v>27</v>
      </c>
      <c r="C209" s="6">
        <v>159</v>
      </c>
      <c r="D209" s="6">
        <v>24</v>
      </c>
      <c r="E209" s="6">
        <v>6</v>
      </c>
      <c r="F209" s="7">
        <f t="shared" si="28"/>
        <v>8.8333333333333339</v>
      </c>
      <c r="G209" s="6">
        <v>45</v>
      </c>
      <c r="H209" s="6">
        <v>453</v>
      </c>
      <c r="I209" s="7">
        <f t="shared" si="29"/>
        <v>10.066666666666666</v>
      </c>
      <c r="J209" s="6"/>
      <c r="K209" s="6"/>
      <c r="L209" s="6"/>
      <c r="M209" s="6"/>
      <c r="N209" s="6"/>
      <c r="O209" s="6"/>
      <c r="P209" s="7"/>
      <c r="Q209" s="6"/>
      <c r="R209" s="6"/>
      <c r="S209" s="7"/>
      <c r="T209" s="6"/>
      <c r="U209" s="6"/>
      <c r="V209" s="6"/>
      <c r="W209" s="6"/>
      <c r="X209" s="6"/>
      <c r="Y209" s="7"/>
      <c r="Z209" s="6"/>
      <c r="AA209" s="6"/>
      <c r="AB209" s="11"/>
    </row>
    <row r="210" spans="1:33" x14ac:dyDescent="0.25">
      <c r="A210" s="6" t="s">
        <v>652</v>
      </c>
      <c r="B210" s="6">
        <v>22.5</v>
      </c>
      <c r="C210" s="6">
        <v>366</v>
      </c>
      <c r="D210" s="6">
        <v>25</v>
      </c>
      <c r="E210" s="6">
        <v>3</v>
      </c>
      <c r="F210" s="7">
        <f t="shared" si="28"/>
        <v>16.636363636363637</v>
      </c>
      <c r="G210" s="6">
        <v>21</v>
      </c>
      <c r="H210" s="6">
        <v>799</v>
      </c>
      <c r="I210" s="7">
        <f t="shared" si="29"/>
        <v>38.047619047619051</v>
      </c>
      <c r="J210" s="6"/>
      <c r="K210" s="6"/>
      <c r="L210" s="6">
        <v>27</v>
      </c>
      <c r="M210" s="6">
        <v>259</v>
      </c>
      <c r="N210" s="6">
        <v>18</v>
      </c>
      <c r="O210" s="6">
        <v>3</v>
      </c>
      <c r="P210" s="7">
        <f t="shared" ref="P210:P214" si="32">(M210/(N210-O210))</f>
        <v>17.266666666666666</v>
      </c>
      <c r="Q210" s="6">
        <v>18</v>
      </c>
      <c r="R210" s="6">
        <v>646</v>
      </c>
      <c r="S210" s="7">
        <f t="shared" si="26"/>
        <v>35.888888888888886</v>
      </c>
      <c r="T210" s="6"/>
      <c r="U210" s="6"/>
      <c r="V210" s="6"/>
      <c r="W210" s="6"/>
      <c r="X210" s="6"/>
      <c r="Y210" s="7"/>
      <c r="Z210" s="6"/>
      <c r="AA210" s="6"/>
      <c r="AB210" s="11"/>
      <c r="AD210" s="6"/>
      <c r="AE210" s="8" t="s">
        <v>658</v>
      </c>
    </row>
    <row r="211" spans="1:33" x14ac:dyDescent="0.25">
      <c r="A211" s="6" t="s">
        <v>989</v>
      </c>
      <c r="B211" s="11">
        <v>120</v>
      </c>
      <c r="C211" s="6">
        <v>2824</v>
      </c>
      <c r="D211" s="6">
        <v>114</v>
      </c>
      <c r="E211" s="6">
        <v>37</v>
      </c>
      <c r="F211" s="7">
        <f t="shared" si="28"/>
        <v>36.675324675324674</v>
      </c>
      <c r="G211" s="6">
        <v>55</v>
      </c>
      <c r="H211" s="6">
        <v>1397</v>
      </c>
      <c r="I211" s="7">
        <f t="shared" si="29"/>
        <v>25.4</v>
      </c>
      <c r="J211" s="6"/>
      <c r="K211" s="6"/>
      <c r="L211" s="6"/>
      <c r="M211" s="6"/>
      <c r="N211" s="6"/>
      <c r="O211" s="6"/>
      <c r="P211" s="7"/>
      <c r="Q211" s="6"/>
      <c r="R211" s="6"/>
      <c r="S211" s="7"/>
      <c r="T211" s="6"/>
      <c r="U211" s="6">
        <v>5</v>
      </c>
      <c r="V211" s="6">
        <v>136</v>
      </c>
      <c r="W211" s="6">
        <v>5</v>
      </c>
      <c r="X211" s="6">
        <v>2</v>
      </c>
      <c r="Y211" s="7">
        <f t="shared" ref="Y211:Y231" si="33">(V211)/(W211-X211)</f>
        <v>45.333333333333336</v>
      </c>
      <c r="Z211" s="6">
        <v>3</v>
      </c>
      <c r="AA211" s="6">
        <v>93</v>
      </c>
      <c r="AB211" s="11">
        <f t="shared" si="27"/>
        <v>31</v>
      </c>
      <c r="AD211" s="6"/>
      <c r="AE211" s="8" t="s">
        <v>1131</v>
      </c>
      <c r="AG211" s="1" t="s">
        <v>1094</v>
      </c>
    </row>
    <row r="212" spans="1:33" x14ac:dyDescent="0.25">
      <c r="A212" s="6" t="s">
        <v>173</v>
      </c>
      <c r="B212" s="6">
        <v>1</v>
      </c>
      <c r="C212" s="6"/>
      <c r="D212" s="6">
        <v>1</v>
      </c>
      <c r="E212" s="6"/>
      <c r="F212" s="7"/>
      <c r="G212" s="6"/>
      <c r="H212" s="6"/>
      <c r="I212" s="7"/>
      <c r="J212" s="6"/>
      <c r="K212" s="6"/>
      <c r="L212" s="6"/>
      <c r="M212" s="6"/>
      <c r="N212" s="6"/>
      <c r="O212" s="6"/>
      <c r="P212" s="7"/>
      <c r="Q212" s="6"/>
      <c r="R212" s="6"/>
      <c r="S212" s="7"/>
      <c r="T212" s="6"/>
      <c r="U212" s="6"/>
      <c r="V212" s="6"/>
      <c r="W212" s="6"/>
      <c r="X212" s="6"/>
      <c r="Y212" s="7"/>
      <c r="Z212" s="6"/>
      <c r="AA212" s="6"/>
      <c r="AB212" s="11"/>
    </row>
    <row r="213" spans="1:33" x14ac:dyDescent="0.25">
      <c r="A213" s="6" t="s">
        <v>174</v>
      </c>
      <c r="B213" s="6">
        <v>13</v>
      </c>
      <c r="C213" s="6">
        <v>142</v>
      </c>
      <c r="D213" s="6">
        <v>15</v>
      </c>
      <c r="E213" s="6">
        <v>1</v>
      </c>
      <c r="F213" s="7">
        <f t="shared" si="28"/>
        <v>10.142857142857142</v>
      </c>
      <c r="G213" s="6"/>
      <c r="H213" s="6"/>
      <c r="I213" s="7"/>
      <c r="J213" s="6"/>
      <c r="K213" s="6"/>
      <c r="L213" s="6"/>
      <c r="M213" s="6"/>
      <c r="N213" s="6"/>
      <c r="O213" s="6"/>
      <c r="P213" s="7"/>
      <c r="Q213" s="6"/>
      <c r="R213" s="6"/>
      <c r="S213" s="7"/>
      <c r="T213" s="6"/>
      <c r="U213" s="6"/>
      <c r="V213" s="6"/>
      <c r="W213" s="6"/>
      <c r="X213" s="6"/>
      <c r="Y213" s="7"/>
      <c r="Z213" s="6"/>
      <c r="AA213" s="6"/>
      <c r="AB213" s="11"/>
    </row>
    <row r="214" spans="1:33" x14ac:dyDescent="0.25">
      <c r="A214" s="6" t="s">
        <v>685</v>
      </c>
      <c r="B214" s="6">
        <v>19</v>
      </c>
      <c r="C214" s="6">
        <v>171</v>
      </c>
      <c r="D214" s="6">
        <v>18</v>
      </c>
      <c r="E214" s="6">
        <v>8</v>
      </c>
      <c r="F214" s="7">
        <f t="shared" si="28"/>
        <v>17.100000000000001</v>
      </c>
      <c r="G214" s="6">
        <v>15</v>
      </c>
      <c r="H214" s="6">
        <v>85</v>
      </c>
      <c r="I214" s="7">
        <f t="shared" si="29"/>
        <v>5.666666666666667</v>
      </c>
      <c r="J214" s="6"/>
      <c r="K214" s="6"/>
      <c r="L214" s="6">
        <v>2</v>
      </c>
      <c r="M214" s="6">
        <v>3</v>
      </c>
      <c r="N214" s="6">
        <v>2</v>
      </c>
      <c r="O214" s="6"/>
      <c r="P214" s="7">
        <f t="shared" si="32"/>
        <v>1.5</v>
      </c>
      <c r="Q214" s="6">
        <v>7</v>
      </c>
      <c r="R214" s="6">
        <v>27</v>
      </c>
      <c r="S214" s="7">
        <f t="shared" si="26"/>
        <v>3.8571428571428572</v>
      </c>
      <c r="T214" s="6"/>
      <c r="U214" s="6"/>
      <c r="V214" s="6"/>
      <c r="W214" s="6"/>
      <c r="X214" s="6"/>
      <c r="Y214" s="7"/>
      <c r="Z214" s="6"/>
      <c r="AA214" s="6"/>
      <c r="AB214" s="11"/>
      <c r="AD214" s="6"/>
      <c r="AE214" s="8" t="s">
        <v>687</v>
      </c>
    </row>
    <row r="215" spans="1:33" x14ac:dyDescent="0.25">
      <c r="A215" s="6" t="s">
        <v>686</v>
      </c>
      <c r="B215" s="6">
        <v>1</v>
      </c>
      <c r="C215" s="6"/>
      <c r="D215" s="6">
        <v>1</v>
      </c>
      <c r="E215" s="6"/>
      <c r="F215" s="7"/>
      <c r="G215" s="6"/>
      <c r="H215" s="6"/>
      <c r="I215" s="7"/>
      <c r="J215" s="6"/>
      <c r="K215" s="6"/>
      <c r="L215" s="6">
        <v>1</v>
      </c>
      <c r="M215" s="6"/>
      <c r="N215" s="6">
        <v>1</v>
      </c>
      <c r="O215" s="6"/>
      <c r="P215" s="7"/>
      <c r="Q215" s="6"/>
      <c r="R215" s="6"/>
      <c r="S215" s="7"/>
      <c r="T215" s="6"/>
      <c r="U215" s="6"/>
      <c r="V215" s="6"/>
      <c r="W215" s="6"/>
      <c r="X215" s="6"/>
      <c r="Y215" s="7"/>
      <c r="Z215" s="6"/>
      <c r="AA215" s="6"/>
      <c r="AB215" s="11"/>
      <c r="AD215" s="6"/>
      <c r="AE215" s="8" t="s">
        <v>23</v>
      </c>
    </row>
    <row r="216" spans="1:33" x14ac:dyDescent="0.25">
      <c r="A216" s="6" t="s">
        <v>175</v>
      </c>
      <c r="B216" s="6">
        <v>22</v>
      </c>
      <c r="C216" s="6">
        <v>500</v>
      </c>
      <c r="D216" s="6">
        <v>24</v>
      </c>
      <c r="E216" s="6">
        <v>1</v>
      </c>
      <c r="F216" s="7">
        <f t="shared" si="28"/>
        <v>21.739130434782609</v>
      </c>
      <c r="G216" s="6">
        <v>19</v>
      </c>
      <c r="H216" s="6">
        <v>379</v>
      </c>
      <c r="I216" s="7">
        <f t="shared" si="29"/>
        <v>19.94736842105263</v>
      </c>
      <c r="J216" s="6"/>
      <c r="K216" s="6"/>
      <c r="L216" s="6"/>
      <c r="M216" s="6"/>
      <c r="N216" s="6"/>
      <c r="O216" s="6"/>
      <c r="P216" s="7"/>
      <c r="Q216" s="6"/>
      <c r="R216" s="6"/>
      <c r="S216" s="7"/>
      <c r="T216" s="6"/>
      <c r="U216" s="6"/>
      <c r="V216" s="6"/>
      <c r="W216" s="6"/>
      <c r="X216" s="6"/>
      <c r="Y216" s="7"/>
      <c r="Z216" s="6"/>
      <c r="AA216" s="6"/>
      <c r="AB216" s="11"/>
    </row>
    <row r="217" spans="1:33" x14ac:dyDescent="0.25">
      <c r="A217" s="6" t="s">
        <v>176</v>
      </c>
      <c r="B217" s="6">
        <v>1</v>
      </c>
      <c r="C217" s="6">
        <v>4</v>
      </c>
      <c r="D217" s="6">
        <v>1</v>
      </c>
      <c r="E217" s="6"/>
      <c r="F217" s="7">
        <f t="shared" si="28"/>
        <v>4</v>
      </c>
      <c r="G217" s="6"/>
      <c r="H217" s="6"/>
      <c r="I217" s="7"/>
      <c r="J217" s="6"/>
      <c r="K217" s="6"/>
      <c r="L217" s="6"/>
      <c r="M217" s="6"/>
      <c r="N217" s="6"/>
      <c r="O217" s="6"/>
      <c r="P217" s="7"/>
      <c r="Q217" s="6"/>
      <c r="R217" s="6"/>
      <c r="S217" s="7"/>
      <c r="T217" s="6"/>
      <c r="U217" s="6"/>
      <c r="V217" s="6"/>
      <c r="W217" s="6"/>
      <c r="X217" s="6"/>
      <c r="Y217" s="7"/>
      <c r="Z217" s="6"/>
      <c r="AA217" s="6"/>
      <c r="AB217" s="11"/>
    </row>
    <row r="218" spans="1:33" x14ac:dyDescent="0.25">
      <c r="A218" s="6" t="s">
        <v>177</v>
      </c>
      <c r="B218" s="6">
        <v>3</v>
      </c>
      <c r="C218" s="6">
        <v>46</v>
      </c>
      <c r="D218" s="6">
        <v>4</v>
      </c>
      <c r="E218" s="6"/>
      <c r="F218" s="7">
        <f t="shared" si="28"/>
        <v>11.5</v>
      </c>
      <c r="G218" s="6"/>
      <c r="H218" s="6">
        <v>8</v>
      </c>
      <c r="I218" s="7"/>
      <c r="J218" s="6"/>
      <c r="K218" s="6"/>
      <c r="L218" s="6"/>
      <c r="M218" s="6"/>
      <c r="N218" s="6"/>
      <c r="O218" s="6"/>
      <c r="P218" s="7"/>
      <c r="Q218" s="6"/>
      <c r="R218" s="6"/>
      <c r="S218" s="7"/>
      <c r="T218" s="6"/>
      <c r="U218" s="6"/>
      <c r="V218" s="6"/>
      <c r="W218" s="6"/>
      <c r="X218" s="6"/>
      <c r="Y218" s="7"/>
      <c r="Z218" s="6"/>
      <c r="AA218" s="6"/>
      <c r="AB218" s="11"/>
    </row>
    <row r="219" spans="1:33" x14ac:dyDescent="0.25">
      <c r="A219" s="6" t="s">
        <v>178</v>
      </c>
      <c r="B219" s="6">
        <v>5</v>
      </c>
      <c r="C219" s="6">
        <v>151</v>
      </c>
      <c r="D219" s="6">
        <v>6</v>
      </c>
      <c r="E219" s="6">
        <v>1</v>
      </c>
      <c r="F219" s="7">
        <f t="shared" si="28"/>
        <v>30.2</v>
      </c>
      <c r="G219" s="6"/>
      <c r="H219" s="6">
        <v>63</v>
      </c>
      <c r="I219" s="7"/>
      <c r="J219" s="6"/>
      <c r="K219" s="6"/>
      <c r="L219" s="6"/>
      <c r="M219" s="6"/>
      <c r="N219" s="6"/>
      <c r="O219" s="6"/>
      <c r="P219" s="7"/>
      <c r="Q219" s="6"/>
      <c r="R219" s="6"/>
      <c r="S219" s="7"/>
      <c r="T219" s="6"/>
      <c r="U219" s="6"/>
      <c r="V219" s="6"/>
      <c r="W219" s="6"/>
      <c r="X219" s="6"/>
      <c r="Y219" s="7"/>
      <c r="Z219" s="6"/>
      <c r="AA219" s="6"/>
      <c r="AB219" s="11"/>
    </row>
    <row r="220" spans="1:33" x14ac:dyDescent="0.25">
      <c r="A220" s="6" t="s">
        <v>179</v>
      </c>
      <c r="B220" s="6">
        <v>2.5</v>
      </c>
      <c r="C220" s="6">
        <v>52</v>
      </c>
      <c r="D220" s="6">
        <v>3</v>
      </c>
      <c r="E220" s="6">
        <v>1</v>
      </c>
      <c r="F220" s="7">
        <f t="shared" si="28"/>
        <v>26</v>
      </c>
      <c r="G220" s="6"/>
      <c r="H220" s="6">
        <v>71</v>
      </c>
      <c r="I220" s="7"/>
      <c r="J220" s="6"/>
      <c r="K220" s="6"/>
      <c r="L220" s="6">
        <v>3</v>
      </c>
      <c r="M220" s="6">
        <v>52</v>
      </c>
      <c r="N220" s="6">
        <v>3</v>
      </c>
      <c r="O220" s="6">
        <v>1</v>
      </c>
      <c r="P220" s="7">
        <f t="shared" ref="P220:P286" si="34">(M220/(N220-O220))</f>
        <v>26</v>
      </c>
      <c r="Q220" s="6"/>
      <c r="R220" s="6">
        <v>71</v>
      </c>
      <c r="S220" s="7"/>
      <c r="T220" s="6"/>
      <c r="U220" s="6"/>
      <c r="V220" s="6"/>
      <c r="W220" s="6"/>
      <c r="X220" s="6"/>
      <c r="Y220" s="7"/>
      <c r="Z220" s="6"/>
      <c r="AA220" s="6"/>
      <c r="AB220" s="11"/>
      <c r="AD220" s="6"/>
      <c r="AE220" s="8" t="s">
        <v>180</v>
      </c>
    </row>
    <row r="221" spans="1:33" x14ac:dyDescent="0.25">
      <c r="A221" s="6" t="s">
        <v>181</v>
      </c>
      <c r="B221" s="6">
        <v>4</v>
      </c>
      <c r="C221" s="6">
        <v>6</v>
      </c>
      <c r="D221" s="6">
        <v>3</v>
      </c>
      <c r="E221" s="6"/>
      <c r="F221" s="7">
        <f t="shared" si="28"/>
        <v>2</v>
      </c>
      <c r="G221" s="6">
        <v>5</v>
      </c>
      <c r="H221" s="6">
        <v>144</v>
      </c>
      <c r="I221" s="7">
        <f t="shared" si="29"/>
        <v>28.8</v>
      </c>
      <c r="J221" s="6"/>
      <c r="K221" s="6"/>
      <c r="L221" s="6"/>
      <c r="M221" s="6"/>
      <c r="N221" s="6"/>
      <c r="O221" s="6"/>
      <c r="P221" s="7"/>
      <c r="Q221" s="6"/>
      <c r="R221" s="6"/>
      <c r="S221" s="7"/>
      <c r="T221" s="6"/>
      <c r="U221" s="6"/>
      <c r="V221" s="6"/>
      <c r="W221" s="6"/>
      <c r="X221" s="6"/>
      <c r="Y221" s="7"/>
      <c r="Z221" s="6"/>
      <c r="AA221" s="6"/>
      <c r="AB221" s="11"/>
    </row>
    <row r="222" spans="1:33" x14ac:dyDescent="0.25">
      <c r="A222" s="6" t="s">
        <v>182</v>
      </c>
      <c r="B222" s="6">
        <v>34</v>
      </c>
      <c r="C222" s="6">
        <v>711</v>
      </c>
      <c r="D222" s="6">
        <v>35</v>
      </c>
      <c r="E222" s="6">
        <v>5</v>
      </c>
      <c r="F222" s="7">
        <f t="shared" si="28"/>
        <v>23.7</v>
      </c>
      <c r="G222" s="6">
        <v>13</v>
      </c>
      <c r="H222" s="6">
        <v>309</v>
      </c>
      <c r="I222" s="7">
        <f t="shared" si="29"/>
        <v>23.76923076923077</v>
      </c>
      <c r="J222" s="6"/>
      <c r="K222" s="6"/>
      <c r="L222" s="6"/>
      <c r="M222" s="6"/>
      <c r="N222" s="6"/>
      <c r="O222" s="6"/>
      <c r="P222" s="7"/>
      <c r="Q222" s="6"/>
      <c r="R222" s="6"/>
      <c r="S222" s="7"/>
      <c r="T222" s="6"/>
      <c r="U222" s="6"/>
      <c r="V222" s="6"/>
      <c r="W222" s="6"/>
      <c r="X222" s="6"/>
      <c r="Y222" s="7"/>
      <c r="Z222" s="6"/>
      <c r="AA222" s="6"/>
      <c r="AB222" s="11"/>
    </row>
    <row r="223" spans="1:33" x14ac:dyDescent="0.25">
      <c r="A223" s="6" t="s">
        <v>183</v>
      </c>
      <c r="B223" s="6">
        <v>5</v>
      </c>
      <c r="C223" s="6">
        <v>26</v>
      </c>
      <c r="D223" s="6">
        <v>6</v>
      </c>
      <c r="E223" s="6"/>
      <c r="F223" s="7">
        <f t="shared" si="28"/>
        <v>4.333333333333333</v>
      </c>
      <c r="G223" s="6">
        <v>3</v>
      </c>
      <c r="H223" s="6">
        <v>86</v>
      </c>
      <c r="I223" s="7">
        <f t="shared" si="29"/>
        <v>28.666666666666668</v>
      </c>
      <c r="J223" s="6"/>
      <c r="K223" s="6"/>
      <c r="L223" s="6"/>
      <c r="M223" s="6"/>
      <c r="N223" s="6"/>
      <c r="O223" s="6"/>
      <c r="P223" s="7"/>
      <c r="Q223" s="6"/>
      <c r="R223" s="6"/>
      <c r="S223" s="7"/>
      <c r="T223" s="6"/>
      <c r="U223" s="6"/>
      <c r="V223" s="6"/>
      <c r="W223" s="6"/>
      <c r="X223" s="6"/>
      <c r="Y223" s="7"/>
      <c r="Z223" s="6"/>
      <c r="AA223" s="6"/>
      <c r="AB223" s="11"/>
    </row>
    <row r="224" spans="1:33" x14ac:dyDescent="0.25">
      <c r="A224" s="6" t="s">
        <v>622</v>
      </c>
      <c r="B224" s="6">
        <v>6</v>
      </c>
      <c r="C224" s="6">
        <v>135</v>
      </c>
      <c r="D224" s="6">
        <v>10</v>
      </c>
      <c r="E224" s="6"/>
      <c r="F224" s="7">
        <f t="shared" si="28"/>
        <v>13.5</v>
      </c>
      <c r="G224" s="6"/>
      <c r="H224" s="6">
        <v>3</v>
      </c>
      <c r="I224" s="7"/>
      <c r="J224" s="6"/>
      <c r="K224" s="6"/>
      <c r="L224" s="6"/>
      <c r="M224" s="6"/>
      <c r="N224" s="6"/>
      <c r="O224" s="6"/>
      <c r="P224" s="7"/>
      <c r="Q224" s="6"/>
      <c r="R224" s="6"/>
      <c r="S224" s="7"/>
      <c r="T224" s="6"/>
      <c r="U224" s="6"/>
      <c r="V224" s="6"/>
      <c r="W224" s="6"/>
      <c r="X224" s="6"/>
      <c r="Y224" s="7"/>
      <c r="Z224" s="6"/>
      <c r="AA224" s="6"/>
      <c r="AB224" s="11"/>
    </row>
    <row r="225" spans="1:33" x14ac:dyDescent="0.25">
      <c r="A225" s="6" t="s">
        <v>184</v>
      </c>
      <c r="B225" s="6">
        <v>32</v>
      </c>
      <c r="C225" s="6">
        <v>816</v>
      </c>
      <c r="D225" s="6">
        <v>30</v>
      </c>
      <c r="E225" s="6">
        <v>1</v>
      </c>
      <c r="F225" s="7">
        <f t="shared" si="28"/>
        <v>28.137931034482758</v>
      </c>
      <c r="G225" s="6">
        <v>5</v>
      </c>
      <c r="H225" s="6">
        <v>100</v>
      </c>
      <c r="I225" s="7">
        <f t="shared" si="29"/>
        <v>20</v>
      </c>
      <c r="J225" s="6"/>
      <c r="K225" s="6"/>
      <c r="L225" s="6"/>
      <c r="M225" s="6"/>
      <c r="N225" s="6"/>
      <c r="O225" s="6"/>
      <c r="P225" s="7"/>
      <c r="Q225" s="6"/>
      <c r="R225" s="6"/>
      <c r="S225" s="7"/>
      <c r="T225" s="6"/>
      <c r="U225" s="6"/>
      <c r="V225" s="6"/>
      <c r="W225" s="6"/>
      <c r="X225" s="6"/>
      <c r="Y225" s="7"/>
      <c r="Z225" s="6"/>
      <c r="AA225" s="6"/>
      <c r="AB225" s="11"/>
    </row>
    <row r="226" spans="1:33" x14ac:dyDescent="0.25">
      <c r="A226" s="6" t="s">
        <v>185</v>
      </c>
      <c r="B226" s="6">
        <v>21</v>
      </c>
      <c r="C226" s="6">
        <v>421</v>
      </c>
      <c r="D226" s="6">
        <v>21</v>
      </c>
      <c r="E226" s="6"/>
      <c r="F226" s="7">
        <f t="shared" si="28"/>
        <v>20.047619047619047</v>
      </c>
      <c r="G226" s="6">
        <v>1</v>
      </c>
      <c r="H226" s="6">
        <v>19</v>
      </c>
      <c r="I226" s="7">
        <f t="shared" si="29"/>
        <v>19</v>
      </c>
      <c r="J226" s="6"/>
      <c r="K226" s="6"/>
      <c r="L226" s="6"/>
      <c r="M226" s="6"/>
      <c r="N226" s="6"/>
      <c r="O226" s="6"/>
      <c r="P226" s="7"/>
      <c r="Q226" s="6"/>
      <c r="R226" s="6"/>
      <c r="S226" s="7"/>
      <c r="T226" s="6"/>
      <c r="U226" s="6"/>
      <c r="V226" s="6"/>
      <c r="W226" s="6"/>
      <c r="X226" s="6"/>
      <c r="Y226" s="7"/>
      <c r="Z226" s="6"/>
      <c r="AA226" s="6"/>
      <c r="AB226" s="11"/>
    </row>
    <row r="227" spans="1:33" x14ac:dyDescent="0.25">
      <c r="A227" s="6" t="s">
        <v>186</v>
      </c>
      <c r="B227" s="6">
        <v>209</v>
      </c>
      <c r="C227" s="6">
        <v>843</v>
      </c>
      <c r="D227" s="6">
        <v>145</v>
      </c>
      <c r="E227" s="6">
        <v>50</v>
      </c>
      <c r="F227" s="7">
        <f t="shared" si="28"/>
        <v>8.8736842105263154</v>
      </c>
      <c r="G227" s="6">
        <v>284</v>
      </c>
      <c r="H227" s="6">
        <v>6091</v>
      </c>
      <c r="I227" s="7">
        <f t="shared" si="29"/>
        <v>21.447183098591548</v>
      </c>
      <c r="J227" s="6"/>
      <c r="K227" s="6"/>
      <c r="L227" s="6">
        <v>4</v>
      </c>
      <c r="M227" s="6">
        <v>80</v>
      </c>
      <c r="N227" s="6">
        <v>3</v>
      </c>
      <c r="O227" s="6"/>
      <c r="P227" s="7">
        <f t="shared" si="34"/>
        <v>26.666666666666668</v>
      </c>
      <c r="Q227" s="6">
        <v>5</v>
      </c>
      <c r="R227" s="6">
        <v>111</v>
      </c>
      <c r="S227" s="7">
        <f t="shared" ref="S227" si="35">(R227/Q227)</f>
        <v>22.2</v>
      </c>
      <c r="T227" s="6"/>
      <c r="U227" s="6"/>
      <c r="V227" s="6"/>
      <c r="W227" s="6"/>
      <c r="X227" s="6"/>
      <c r="Y227" s="7"/>
      <c r="Z227" s="6"/>
      <c r="AA227" s="6"/>
      <c r="AB227" s="11"/>
      <c r="AD227" s="6"/>
      <c r="AE227" s="8" t="s">
        <v>965</v>
      </c>
    </row>
    <row r="228" spans="1:33" x14ac:dyDescent="0.25">
      <c r="A228" s="6" t="s">
        <v>187</v>
      </c>
      <c r="B228" s="6">
        <v>30</v>
      </c>
      <c r="C228" s="6">
        <v>295</v>
      </c>
      <c r="D228" s="6">
        <v>32</v>
      </c>
      <c r="E228" s="6">
        <v>6</v>
      </c>
      <c r="F228" s="7">
        <f t="shared" si="28"/>
        <v>11.346153846153847</v>
      </c>
      <c r="G228" s="6">
        <v>20</v>
      </c>
      <c r="H228" s="6">
        <v>434</v>
      </c>
      <c r="I228" s="7">
        <f t="shared" si="29"/>
        <v>21.7</v>
      </c>
      <c r="J228" s="6"/>
      <c r="K228" s="6"/>
      <c r="L228" s="6"/>
      <c r="M228" s="6"/>
      <c r="N228" s="6"/>
      <c r="O228" s="6"/>
      <c r="P228" s="7"/>
      <c r="Q228" s="6"/>
      <c r="R228" s="6"/>
      <c r="S228" s="7"/>
      <c r="T228" s="6"/>
      <c r="U228" s="6"/>
      <c r="V228" s="6"/>
      <c r="W228" s="6"/>
      <c r="X228" s="6"/>
      <c r="Y228" s="7"/>
      <c r="Z228" s="6"/>
      <c r="AA228" s="6"/>
      <c r="AB228" s="11"/>
    </row>
    <row r="229" spans="1:33" x14ac:dyDescent="0.25">
      <c r="A229" s="6" t="s">
        <v>188</v>
      </c>
      <c r="B229" s="6">
        <v>54</v>
      </c>
      <c r="C229" s="6">
        <v>1281</v>
      </c>
      <c r="D229" s="6">
        <v>54</v>
      </c>
      <c r="E229" s="6">
        <v>10</v>
      </c>
      <c r="F229" s="7">
        <f t="shared" si="28"/>
        <v>29.113636363636363</v>
      </c>
      <c r="G229" s="6">
        <v>24</v>
      </c>
      <c r="H229" s="6">
        <v>249</v>
      </c>
      <c r="I229" s="7">
        <f t="shared" si="29"/>
        <v>10.375</v>
      </c>
      <c r="J229" s="6"/>
      <c r="K229" s="6"/>
      <c r="L229" s="6"/>
      <c r="M229" s="6"/>
      <c r="N229" s="6"/>
      <c r="O229" s="6"/>
      <c r="P229" s="7"/>
      <c r="Q229" s="6"/>
      <c r="R229" s="6"/>
      <c r="S229" s="7"/>
      <c r="T229" s="6"/>
      <c r="U229" s="6"/>
      <c r="V229" s="6"/>
      <c r="W229" s="6"/>
      <c r="X229" s="6"/>
      <c r="Y229" s="7"/>
      <c r="Z229" s="6"/>
      <c r="AA229" s="6"/>
      <c r="AB229" s="11"/>
    </row>
    <row r="230" spans="1:33" x14ac:dyDescent="0.25">
      <c r="A230" s="6" t="s">
        <v>189</v>
      </c>
      <c r="B230" s="6">
        <v>1</v>
      </c>
      <c r="C230" s="6">
        <v>13</v>
      </c>
      <c r="D230" s="6">
        <v>2</v>
      </c>
      <c r="E230" s="6"/>
      <c r="F230" s="7">
        <f t="shared" si="28"/>
        <v>6.5</v>
      </c>
      <c r="G230" s="6">
        <v>8</v>
      </c>
      <c r="H230" s="6">
        <v>70</v>
      </c>
      <c r="I230" s="7">
        <f t="shared" si="29"/>
        <v>8.75</v>
      </c>
      <c r="J230" s="6"/>
      <c r="K230" s="6"/>
      <c r="L230" s="6"/>
      <c r="M230" s="6"/>
      <c r="N230" s="6"/>
      <c r="O230" s="6"/>
      <c r="P230" s="7"/>
      <c r="Q230" s="6"/>
      <c r="R230" s="6"/>
      <c r="S230" s="7"/>
      <c r="T230" s="6"/>
      <c r="U230" s="6"/>
      <c r="V230" s="6"/>
      <c r="W230" s="6"/>
      <c r="X230" s="6"/>
      <c r="Y230" s="7"/>
      <c r="Z230" s="6"/>
      <c r="AA230" s="6"/>
      <c r="AB230" s="11"/>
    </row>
    <row r="231" spans="1:33" x14ac:dyDescent="0.25">
      <c r="A231" s="6" t="s">
        <v>1018</v>
      </c>
      <c r="B231" s="6">
        <v>122.5</v>
      </c>
      <c r="C231" s="6">
        <v>281</v>
      </c>
      <c r="D231" s="6">
        <v>39</v>
      </c>
      <c r="E231" s="6">
        <v>11</v>
      </c>
      <c r="F231" s="7">
        <f t="shared" si="28"/>
        <v>10.035714285714286</v>
      </c>
      <c r="G231" s="6">
        <v>52</v>
      </c>
      <c r="H231" s="6">
        <v>1430</v>
      </c>
      <c r="I231" s="7">
        <f t="shared" si="29"/>
        <v>27.5</v>
      </c>
      <c r="J231" s="6"/>
      <c r="K231" s="6"/>
      <c r="L231" s="6"/>
      <c r="M231" s="6"/>
      <c r="N231" s="6"/>
      <c r="O231" s="6"/>
      <c r="P231" s="7"/>
      <c r="Q231" s="6"/>
      <c r="R231" s="6"/>
      <c r="S231" s="7"/>
      <c r="T231" s="6"/>
      <c r="U231" s="6">
        <v>19</v>
      </c>
      <c r="V231" s="6">
        <v>19</v>
      </c>
      <c r="W231" s="6">
        <v>5</v>
      </c>
      <c r="X231" s="6">
        <v>2</v>
      </c>
      <c r="Y231" s="7">
        <f t="shared" si="33"/>
        <v>6.333333333333333</v>
      </c>
      <c r="Z231" s="6">
        <v>20</v>
      </c>
      <c r="AA231" s="6">
        <v>403</v>
      </c>
      <c r="AB231" s="11">
        <f t="shared" ref="AB231" si="36">AA231/Z231</f>
        <v>20.149999999999999</v>
      </c>
      <c r="AE231" s="1" t="s">
        <v>1133</v>
      </c>
      <c r="AG231" s="1" t="s">
        <v>1095</v>
      </c>
    </row>
    <row r="232" spans="1:33" x14ac:dyDescent="0.25">
      <c r="A232" s="6" t="s">
        <v>190</v>
      </c>
      <c r="B232" s="6">
        <v>22</v>
      </c>
      <c r="C232" s="6">
        <v>183</v>
      </c>
      <c r="D232" s="6">
        <v>20</v>
      </c>
      <c r="E232" s="6">
        <v>5</v>
      </c>
      <c r="F232" s="7">
        <f t="shared" si="28"/>
        <v>12.2</v>
      </c>
      <c r="G232" s="6">
        <v>18</v>
      </c>
      <c r="H232" s="6">
        <v>445</v>
      </c>
      <c r="I232" s="7">
        <f t="shared" si="29"/>
        <v>24.722222222222221</v>
      </c>
      <c r="J232" s="6"/>
      <c r="K232" s="6"/>
      <c r="L232" s="6"/>
      <c r="M232" s="6"/>
      <c r="N232" s="6"/>
      <c r="O232" s="6"/>
      <c r="P232" s="7"/>
      <c r="Q232" s="6"/>
      <c r="R232" s="6"/>
      <c r="S232" s="7"/>
      <c r="T232" s="6"/>
      <c r="U232" s="6"/>
      <c r="V232" s="6"/>
      <c r="W232" s="6"/>
      <c r="X232" s="6"/>
      <c r="Y232" s="12"/>
      <c r="Z232" s="6"/>
      <c r="AA232" s="6"/>
      <c r="AB232" s="11"/>
    </row>
    <row r="233" spans="1:33" x14ac:dyDescent="0.25">
      <c r="A233" s="6" t="s">
        <v>954</v>
      </c>
      <c r="B233" s="6">
        <v>94</v>
      </c>
      <c r="C233" s="6">
        <v>1749</v>
      </c>
      <c r="D233" s="6">
        <v>99</v>
      </c>
      <c r="E233" s="6"/>
      <c r="F233" s="7">
        <f t="shared" si="28"/>
        <v>17.666666666666668</v>
      </c>
      <c r="G233" s="6">
        <v>4</v>
      </c>
      <c r="H233" s="6">
        <v>157</v>
      </c>
      <c r="I233" s="7">
        <f t="shared" si="29"/>
        <v>39.25</v>
      </c>
      <c r="J233" s="6"/>
      <c r="K233" s="6"/>
      <c r="L233" s="6"/>
      <c r="M233" s="6"/>
      <c r="N233" s="6"/>
      <c r="O233" s="6"/>
      <c r="P233" s="7"/>
      <c r="Q233" s="6"/>
      <c r="R233" s="6"/>
      <c r="S233" s="7"/>
      <c r="T233" s="6"/>
      <c r="U233" s="6"/>
      <c r="V233" s="6"/>
      <c r="W233" s="6"/>
      <c r="X233" s="6"/>
      <c r="Y233" s="12"/>
      <c r="Z233" s="6"/>
      <c r="AA233" s="6"/>
      <c r="AB233" s="11"/>
    </row>
    <row r="234" spans="1:33" x14ac:dyDescent="0.25">
      <c r="A234" s="6" t="s">
        <v>191</v>
      </c>
      <c r="B234" s="6">
        <v>1</v>
      </c>
      <c r="C234" s="6">
        <v>12</v>
      </c>
      <c r="D234" s="6">
        <v>1</v>
      </c>
      <c r="E234" s="6">
        <v>1</v>
      </c>
      <c r="F234" s="7"/>
      <c r="G234" s="6"/>
      <c r="H234" s="6"/>
      <c r="I234" s="7"/>
      <c r="J234" s="6"/>
      <c r="K234" s="6"/>
      <c r="L234" s="6"/>
      <c r="M234" s="6"/>
      <c r="N234" s="6"/>
      <c r="O234" s="6"/>
      <c r="P234" s="7"/>
      <c r="Q234" s="6"/>
      <c r="R234" s="6"/>
      <c r="S234" s="7"/>
      <c r="T234" s="6"/>
      <c r="U234" s="6"/>
      <c r="V234" s="6"/>
      <c r="W234" s="6"/>
      <c r="X234" s="6"/>
      <c r="Y234" s="12"/>
      <c r="Z234" s="6"/>
      <c r="AA234" s="6"/>
      <c r="AB234" s="11"/>
    </row>
    <row r="235" spans="1:33" x14ac:dyDescent="0.25">
      <c r="A235" s="6" t="s">
        <v>192</v>
      </c>
      <c r="B235" s="6">
        <v>7</v>
      </c>
      <c r="C235" s="6">
        <v>103</v>
      </c>
      <c r="D235" s="6">
        <v>7</v>
      </c>
      <c r="E235" s="6">
        <v>1</v>
      </c>
      <c r="F235" s="7">
        <f t="shared" si="28"/>
        <v>17.166666666666668</v>
      </c>
      <c r="G235" s="6">
        <v>8</v>
      </c>
      <c r="H235" s="6">
        <v>76</v>
      </c>
      <c r="I235" s="7">
        <f t="shared" si="29"/>
        <v>9.5</v>
      </c>
      <c r="J235" s="6"/>
      <c r="K235" s="6"/>
      <c r="L235" s="6"/>
      <c r="M235" s="6"/>
      <c r="N235" s="6"/>
      <c r="O235" s="6"/>
      <c r="P235" s="7"/>
      <c r="Q235" s="6"/>
      <c r="R235" s="6"/>
      <c r="S235" s="7"/>
      <c r="T235" s="6"/>
      <c r="U235" s="6"/>
      <c r="V235" s="6"/>
      <c r="W235" s="6"/>
      <c r="X235" s="6"/>
      <c r="Y235" s="12"/>
      <c r="Z235" s="6"/>
      <c r="AA235" s="6"/>
      <c r="AB235" s="11"/>
    </row>
    <row r="236" spans="1:33" x14ac:dyDescent="0.25">
      <c r="A236" s="6" t="s">
        <v>193</v>
      </c>
      <c r="B236" s="6">
        <v>8</v>
      </c>
      <c r="C236" s="6">
        <v>121</v>
      </c>
      <c r="D236" s="6">
        <v>7</v>
      </c>
      <c r="E236" s="6">
        <v>1</v>
      </c>
      <c r="F236" s="7">
        <f t="shared" si="28"/>
        <v>20.166666666666668</v>
      </c>
      <c r="G236" s="6">
        <v>12</v>
      </c>
      <c r="H236" s="6">
        <v>209</v>
      </c>
      <c r="I236" s="7">
        <f t="shared" si="29"/>
        <v>17.416666666666668</v>
      </c>
      <c r="J236" s="6"/>
      <c r="K236" s="6"/>
      <c r="L236" s="6"/>
      <c r="M236" s="6"/>
      <c r="N236" s="6"/>
      <c r="O236" s="6"/>
      <c r="P236" s="7"/>
      <c r="Q236" s="6"/>
      <c r="R236" s="6"/>
      <c r="S236" s="7"/>
      <c r="T236" s="6"/>
      <c r="U236" s="6"/>
      <c r="V236" s="6"/>
      <c r="W236" s="6"/>
      <c r="X236" s="6"/>
      <c r="Y236" s="12"/>
      <c r="Z236" s="6"/>
      <c r="AA236" s="6"/>
      <c r="AB236" s="11"/>
    </row>
    <row r="237" spans="1:33" x14ac:dyDescent="0.25">
      <c r="A237" s="6" t="s">
        <v>723</v>
      </c>
      <c r="B237" s="6">
        <v>2</v>
      </c>
      <c r="C237" s="6">
        <v>50</v>
      </c>
      <c r="D237" s="6">
        <v>2</v>
      </c>
      <c r="E237" s="6">
        <v>1</v>
      </c>
      <c r="F237" s="7">
        <f t="shared" si="28"/>
        <v>50</v>
      </c>
      <c r="G237" s="6">
        <v>1</v>
      </c>
      <c r="H237" s="6">
        <v>63</v>
      </c>
      <c r="I237" s="7">
        <f t="shared" si="29"/>
        <v>63</v>
      </c>
      <c r="J237" s="6"/>
      <c r="K237" s="6"/>
      <c r="L237" s="6">
        <v>1</v>
      </c>
      <c r="M237" s="6">
        <v>50</v>
      </c>
      <c r="N237" s="6">
        <v>1</v>
      </c>
      <c r="O237" s="6">
        <v>1</v>
      </c>
      <c r="P237" s="7"/>
      <c r="Q237" s="6">
        <v>1</v>
      </c>
      <c r="R237" s="6">
        <v>16</v>
      </c>
      <c r="S237" s="7"/>
      <c r="T237" s="6"/>
      <c r="U237" s="6"/>
      <c r="V237" s="6"/>
      <c r="W237" s="6"/>
      <c r="X237" s="6"/>
      <c r="Y237" s="12"/>
      <c r="Z237" s="6"/>
      <c r="AA237" s="6"/>
      <c r="AB237" s="11"/>
      <c r="AD237" s="6"/>
      <c r="AE237" s="8" t="s">
        <v>695</v>
      </c>
    </row>
    <row r="238" spans="1:33" x14ac:dyDescent="0.25">
      <c r="A238" s="6" t="s">
        <v>194</v>
      </c>
      <c r="B238" s="6">
        <v>2</v>
      </c>
      <c r="C238" s="6">
        <v>33</v>
      </c>
      <c r="D238" s="6">
        <v>1</v>
      </c>
      <c r="E238" s="6"/>
      <c r="F238" s="7">
        <f t="shared" si="28"/>
        <v>33</v>
      </c>
      <c r="G238" s="6"/>
      <c r="H238" s="6"/>
      <c r="I238" s="7"/>
      <c r="J238" s="6"/>
      <c r="K238" s="6"/>
      <c r="L238" s="6"/>
      <c r="M238" s="6"/>
      <c r="N238" s="6"/>
      <c r="O238" s="6"/>
      <c r="P238" s="7"/>
      <c r="Q238" s="6"/>
      <c r="R238" s="6"/>
      <c r="S238" s="7"/>
      <c r="T238" s="6"/>
      <c r="U238" s="6"/>
      <c r="V238" s="6"/>
      <c r="W238" s="6"/>
      <c r="X238" s="6"/>
      <c r="Y238" s="12"/>
      <c r="Z238" s="6"/>
      <c r="AA238" s="6"/>
      <c r="AB238" s="11"/>
    </row>
    <row r="239" spans="1:33" x14ac:dyDescent="0.25">
      <c r="A239" s="6" t="s">
        <v>935</v>
      </c>
      <c r="B239" s="6">
        <v>8.5</v>
      </c>
      <c r="C239" s="6">
        <v>81</v>
      </c>
      <c r="D239" s="6">
        <v>9</v>
      </c>
      <c r="E239" s="6">
        <v>1</v>
      </c>
      <c r="F239" s="7">
        <f t="shared" si="28"/>
        <v>10.125</v>
      </c>
      <c r="G239" s="6"/>
      <c r="H239" s="6"/>
      <c r="I239" s="7"/>
      <c r="J239" s="6"/>
      <c r="K239" s="6"/>
      <c r="L239" s="6"/>
      <c r="M239" s="6"/>
      <c r="N239" s="6"/>
      <c r="O239" s="6"/>
      <c r="P239" s="7"/>
      <c r="Q239" s="6"/>
      <c r="R239" s="6"/>
      <c r="S239" s="7"/>
      <c r="T239" s="6"/>
      <c r="U239" s="6"/>
      <c r="V239" s="6"/>
      <c r="W239" s="6"/>
      <c r="X239" s="6"/>
      <c r="Y239" s="12"/>
      <c r="Z239" s="6"/>
      <c r="AA239" s="6"/>
      <c r="AB239" s="11"/>
      <c r="AD239" s="8"/>
      <c r="AE239" s="8" t="s">
        <v>936</v>
      </c>
    </row>
    <row r="240" spans="1:33" x14ac:dyDescent="0.25">
      <c r="A240" s="6" t="s">
        <v>1096</v>
      </c>
      <c r="B240" s="6">
        <v>1</v>
      </c>
      <c r="C240" s="6">
        <v>2</v>
      </c>
      <c r="D240" s="6">
        <v>2</v>
      </c>
      <c r="E240" s="6"/>
      <c r="F240" s="7">
        <f t="shared" si="28"/>
        <v>1</v>
      </c>
      <c r="G240" s="6">
        <v>2</v>
      </c>
      <c r="H240" s="6">
        <v>30</v>
      </c>
      <c r="I240" s="7">
        <f t="shared" si="29"/>
        <v>15</v>
      </c>
      <c r="J240" s="6"/>
      <c r="K240" s="6"/>
      <c r="L240" s="6"/>
      <c r="M240" s="6"/>
      <c r="N240" s="6"/>
      <c r="O240" s="6"/>
      <c r="P240" s="7"/>
      <c r="Q240" s="6"/>
      <c r="R240" s="6"/>
      <c r="S240" s="7"/>
      <c r="T240" s="6"/>
      <c r="U240" s="6">
        <v>2</v>
      </c>
      <c r="V240" s="6">
        <v>2</v>
      </c>
      <c r="W240" s="6">
        <v>2</v>
      </c>
      <c r="X240" s="6"/>
      <c r="Y240" s="11">
        <f t="shared" ref="Y240" si="37">(V240)/(W240-X240)</f>
        <v>1</v>
      </c>
      <c r="Z240" s="6">
        <v>2</v>
      </c>
      <c r="AA240" s="6">
        <v>30</v>
      </c>
      <c r="AB240" s="11">
        <f t="shared" ref="AB240" si="38">AA240/Z240</f>
        <v>15</v>
      </c>
      <c r="AD240" s="8"/>
      <c r="AE240" s="8" t="s">
        <v>923</v>
      </c>
    </row>
    <row r="241" spans="1:31" x14ac:dyDescent="0.25">
      <c r="A241" s="6" t="s">
        <v>195</v>
      </c>
      <c r="B241" s="6">
        <v>20</v>
      </c>
      <c r="C241" s="6">
        <v>386</v>
      </c>
      <c r="D241" s="6">
        <v>20</v>
      </c>
      <c r="E241" s="6"/>
      <c r="F241" s="7">
        <f t="shared" si="28"/>
        <v>19.3</v>
      </c>
      <c r="G241" s="6">
        <v>12</v>
      </c>
      <c r="H241" s="6">
        <v>259</v>
      </c>
      <c r="I241" s="7">
        <f t="shared" si="29"/>
        <v>21.583333333333332</v>
      </c>
      <c r="J241" s="6"/>
      <c r="K241" s="6"/>
      <c r="L241" s="6"/>
      <c r="M241" s="6"/>
      <c r="N241" s="6"/>
      <c r="O241" s="6"/>
      <c r="P241" s="7"/>
      <c r="Q241" s="6"/>
      <c r="R241" s="6"/>
      <c r="S241" s="7"/>
      <c r="T241" s="6"/>
      <c r="U241" s="6"/>
      <c r="V241" s="6"/>
      <c r="W241" s="6"/>
      <c r="X241" s="6"/>
      <c r="Y241" s="11"/>
      <c r="Z241" s="6"/>
      <c r="AA241" s="6"/>
      <c r="AB241" s="11"/>
    </row>
    <row r="242" spans="1:31" x14ac:dyDescent="0.25">
      <c r="A242" s="6" t="s">
        <v>196</v>
      </c>
      <c r="B242" s="6">
        <v>8</v>
      </c>
      <c r="C242" s="6">
        <v>225</v>
      </c>
      <c r="D242" s="6">
        <v>9</v>
      </c>
      <c r="E242" s="6">
        <v>1</v>
      </c>
      <c r="F242" s="7">
        <f t="shared" si="28"/>
        <v>28.125</v>
      </c>
      <c r="G242" s="6">
        <v>4</v>
      </c>
      <c r="H242" s="6">
        <v>57</v>
      </c>
      <c r="I242" s="7">
        <f t="shared" si="29"/>
        <v>14.25</v>
      </c>
      <c r="J242" s="6"/>
      <c r="K242" s="6"/>
      <c r="L242" s="6"/>
      <c r="M242" s="6"/>
      <c r="N242" s="6"/>
      <c r="O242" s="6"/>
      <c r="P242" s="7"/>
      <c r="Q242" s="6"/>
      <c r="R242" s="6"/>
      <c r="S242" s="7"/>
      <c r="T242" s="6"/>
      <c r="U242" s="6"/>
      <c r="V242" s="6"/>
      <c r="W242" s="6"/>
      <c r="X242" s="6"/>
      <c r="Y242" s="11"/>
      <c r="Z242" s="6"/>
      <c r="AA242" s="6"/>
      <c r="AB242" s="11"/>
    </row>
    <row r="243" spans="1:31" x14ac:dyDescent="0.25">
      <c r="A243" s="6" t="s">
        <v>196</v>
      </c>
      <c r="B243" s="6">
        <v>1</v>
      </c>
      <c r="C243" s="6"/>
      <c r="D243" s="6"/>
      <c r="E243" s="6"/>
      <c r="F243" s="7"/>
      <c r="G243" s="6">
        <v>4</v>
      </c>
      <c r="H243" s="6">
        <v>26</v>
      </c>
      <c r="I243" s="7">
        <f t="shared" si="29"/>
        <v>6.5</v>
      </c>
      <c r="J243" s="6"/>
      <c r="K243" s="6"/>
      <c r="L243" s="6"/>
      <c r="M243" s="6"/>
      <c r="N243" s="6"/>
      <c r="O243" s="6"/>
      <c r="P243" s="7"/>
      <c r="Q243" s="6"/>
      <c r="R243" s="6"/>
      <c r="S243" s="7"/>
      <c r="T243" s="6"/>
      <c r="U243" s="6"/>
      <c r="V243" s="6"/>
      <c r="W243" s="6"/>
      <c r="X243" s="6"/>
      <c r="Y243" s="11"/>
      <c r="Z243" s="6"/>
      <c r="AA243" s="6"/>
      <c r="AB243" s="11"/>
    </row>
    <row r="244" spans="1:31" x14ac:dyDescent="0.25">
      <c r="A244" s="6" t="s">
        <v>197</v>
      </c>
      <c r="B244" s="6">
        <v>3</v>
      </c>
      <c r="C244" s="6">
        <v>13</v>
      </c>
      <c r="D244" s="6">
        <v>3</v>
      </c>
      <c r="E244" s="6">
        <v>1</v>
      </c>
      <c r="F244" s="7">
        <f t="shared" si="28"/>
        <v>6.5</v>
      </c>
      <c r="G244" s="6"/>
      <c r="H244" s="6"/>
      <c r="I244" s="7"/>
      <c r="J244" s="6"/>
      <c r="K244" s="6"/>
      <c r="L244" s="6"/>
      <c r="M244" s="6"/>
      <c r="N244" s="6"/>
      <c r="O244" s="6"/>
      <c r="P244" s="7"/>
      <c r="Q244" s="6"/>
      <c r="R244" s="6"/>
      <c r="S244" s="7"/>
      <c r="T244" s="6"/>
      <c r="U244" s="6"/>
      <c r="V244" s="6"/>
      <c r="W244" s="6"/>
      <c r="X244" s="6"/>
      <c r="Y244" s="11"/>
      <c r="Z244" s="6"/>
      <c r="AA244" s="6"/>
      <c r="AB244" s="11"/>
    </row>
    <row r="245" spans="1:31" x14ac:dyDescent="0.25">
      <c r="A245" s="6" t="s">
        <v>1097</v>
      </c>
      <c r="B245" s="6">
        <v>0.5</v>
      </c>
      <c r="C245" s="6"/>
      <c r="D245" s="6">
        <v>1</v>
      </c>
      <c r="E245" s="6"/>
      <c r="F245" s="7"/>
      <c r="G245" s="6"/>
      <c r="H245" s="6"/>
      <c r="I245" s="7"/>
      <c r="J245" s="6"/>
      <c r="K245" s="6"/>
      <c r="L245" s="6"/>
      <c r="M245" s="6"/>
      <c r="N245" s="6"/>
      <c r="O245" s="6"/>
      <c r="P245" s="7"/>
      <c r="Q245" s="6"/>
      <c r="R245" s="6"/>
      <c r="S245" s="7"/>
      <c r="T245" s="6"/>
      <c r="U245" s="6">
        <v>1</v>
      </c>
      <c r="V245" s="6"/>
      <c r="W245" s="6">
        <v>1</v>
      </c>
      <c r="X245" s="6"/>
      <c r="Y245" s="11"/>
      <c r="Z245" s="6"/>
      <c r="AA245" s="6"/>
      <c r="AB245" s="11"/>
      <c r="AE245" s="13" t="s">
        <v>939</v>
      </c>
    </row>
    <row r="246" spans="1:31" x14ac:dyDescent="0.25">
      <c r="A246" s="6" t="s">
        <v>198</v>
      </c>
      <c r="B246" s="6">
        <v>26</v>
      </c>
      <c r="C246" s="6">
        <v>65</v>
      </c>
      <c r="D246" s="6">
        <v>1</v>
      </c>
      <c r="E246" s="6"/>
      <c r="F246" s="7">
        <f t="shared" si="28"/>
        <v>65</v>
      </c>
      <c r="G246" s="6">
        <v>2</v>
      </c>
      <c r="H246" s="6">
        <v>58</v>
      </c>
      <c r="I246" s="7">
        <f t="shared" si="29"/>
        <v>29</v>
      </c>
      <c r="J246" s="6"/>
      <c r="K246" s="6"/>
      <c r="L246" s="6"/>
      <c r="M246" s="6"/>
      <c r="N246" s="6"/>
      <c r="O246" s="6"/>
      <c r="P246" s="7"/>
      <c r="Q246" s="6"/>
      <c r="R246" s="6"/>
      <c r="S246" s="7"/>
      <c r="T246" s="6"/>
      <c r="U246" s="6"/>
      <c r="V246" s="6"/>
      <c r="W246" s="6"/>
      <c r="X246" s="6"/>
      <c r="Y246" s="11"/>
      <c r="Z246" s="6"/>
      <c r="AA246" s="6"/>
      <c r="AB246" s="11"/>
    </row>
    <row r="247" spans="1:31" x14ac:dyDescent="0.25">
      <c r="A247" s="6" t="s">
        <v>199</v>
      </c>
      <c r="B247" s="6">
        <v>23</v>
      </c>
      <c r="C247" s="6">
        <v>315</v>
      </c>
      <c r="D247" s="6">
        <v>25</v>
      </c>
      <c r="E247" s="6">
        <v>4</v>
      </c>
      <c r="F247" s="7">
        <f t="shared" si="28"/>
        <v>15</v>
      </c>
      <c r="G247" s="6">
        <v>32</v>
      </c>
      <c r="H247" s="6">
        <v>909</v>
      </c>
      <c r="I247" s="7">
        <f t="shared" si="29"/>
        <v>28.40625</v>
      </c>
      <c r="J247" s="6"/>
      <c r="K247" s="6"/>
      <c r="L247" s="6"/>
      <c r="M247" s="6"/>
      <c r="N247" s="6"/>
      <c r="O247" s="6"/>
      <c r="P247" s="7"/>
      <c r="Q247" s="6"/>
      <c r="R247" s="6"/>
      <c r="S247" s="7"/>
      <c r="T247" s="6"/>
      <c r="U247" s="6"/>
      <c r="V247" s="6"/>
      <c r="W247" s="6"/>
      <c r="X247" s="6"/>
      <c r="Y247" s="11"/>
      <c r="Z247" s="6"/>
      <c r="AA247" s="6"/>
      <c r="AB247" s="11"/>
    </row>
    <row r="248" spans="1:31" x14ac:dyDescent="0.25">
      <c r="A248" s="6" t="s">
        <v>200</v>
      </c>
      <c r="B248" s="6">
        <v>4</v>
      </c>
      <c r="C248" s="6">
        <v>32</v>
      </c>
      <c r="D248" s="6">
        <v>2</v>
      </c>
      <c r="E248" s="6"/>
      <c r="F248" s="7">
        <f t="shared" si="28"/>
        <v>16</v>
      </c>
      <c r="G248" s="6"/>
      <c r="H248" s="6">
        <v>41</v>
      </c>
      <c r="I248" s="7"/>
      <c r="J248" s="6"/>
      <c r="K248" s="6"/>
      <c r="L248" s="6">
        <v>1</v>
      </c>
      <c r="M248" s="6"/>
      <c r="N248" s="6"/>
      <c r="O248" s="6"/>
      <c r="P248" s="7"/>
      <c r="Q248" s="6"/>
      <c r="R248" s="6"/>
      <c r="S248" s="7"/>
      <c r="T248" s="6"/>
      <c r="U248" s="6"/>
      <c r="V248" s="6"/>
      <c r="W248" s="6"/>
      <c r="X248" s="6"/>
      <c r="Y248" s="11"/>
      <c r="Z248" s="6"/>
      <c r="AA248" s="6"/>
      <c r="AB248" s="11"/>
      <c r="AD248" s="6"/>
      <c r="AE248" s="8" t="s">
        <v>201</v>
      </c>
    </row>
    <row r="249" spans="1:31" x14ac:dyDescent="0.25">
      <c r="A249" s="6" t="s">
        <v>202</v>
      </c>
      <c r="B249" s="6">
        <v>112</v>
      </c>
      <c r="C249" s="6">
        <v>1834</v>
      </c>
      <c r="D249" s="6">
        <v>107</v>
      </c>
      <c r="E249" s="6">
        <v>20</v>
      </c>
      <c r="F249" s="7">
        <f t="shared" si="28"/>
        <v>21.080459770114942</v>
      </c>
      <c r="G249" s="6">
        <v>45</v>
      </c>
      <c r="H249" s="6">
        <v>812</v>
      </c>
      <c r="I249" s="7">
        <f t="shared" si="29"/>
        <v>18.044444444444444</v>
      </c>
      <c r="J249" s="6"/>
      <c r="K249" s="6"/>
      <c r="L249" s="6">
        <v>1</v>
      </c>
      <c r="M249" s="6">
        <v>16</v>
      </c>
      <c r="N249" s="6">
        <v>1</v>
      </c>
      <c r="O249" s="6"/>
      <c r="P249" s="7">
        <f t="shared" si="34"/>
        <v>16</v>
      </c>
      <c r="Q249" s="6"/>
      <c r="R249" s="6">
        <v>33</v>
      </c>
      <c r="S249" s="7"/>
      <c r="T249" s="6"/>
      <c r="U249" s="6"/>
      <c r="V249" s="6"/>
      <c r="W249" s="6"/>
      <c r="X249" s="6"/>
      <c r="Y249" s="11"/>
      <c r="Z249" s="6"/>
      <c r="AA249" s="6"/>
      <c r="AB249" s="11"/>
      <c r="AD249" s="6"/>
      <c r="AE249" s="8" t="s">
        <v>868</v>
      </c>
    </row>
    <row r="250" spans="1:31" x14ac:dyDescent="0.25">
      <c r="A250" s="6" t="s">
        <v>203</v>
      </c>
      <c r="B250" s="6">
        <v>5</v>
      </c>
      <c r="C250" s="6">
        <v>8</v>
      </c>
      <c r="D250" s="6">
        <v>4</v>
      </c>
      <c r="E250" s="6">
        <v>2</v>
      </c>
      <c r="F250" s="7">
        <f t="shared" si="28"/>
        <v>4</v>
      </c>
      <c r="G250" s="6"/>
      <c r="H250" s="6">
        <v>10</v>
      </c>
      <c r="I250" s="7"/>
      <c r="J250" s="6"/>
      <c r="K250" s="6"/>
      <c r="L250" s="6"/>
      <c r="M250" s="6"/>
      <c r="N250" s="6"/>
      <c r="O250" s="6"/>
      <c r="P250" s="7"/>
      <c r="Q250" s="6"/>
      <c r="R250" s="6"/>
      <c r="S250" s="7"/>
      <c r="T250" s="6"/>
      <c r="U250" s="6"/>
      <c r="V250" s="6"/>
      <c r="W250" s="6"/>
      <c r="X250" s="6"/>
      <c r="Y250" s="11"/>
      <c r="Z250" s="6"/>
      <c r="AA250" s="6"/>
      <c r="AB250" s="11"/>
    </row>
    <row r="251" spans="1:31" x14ac:dyDescent="0.25">
      <c r="A251" s="6" t="s">
        <v>204</v>
      </c>
      <c r="B251" s="6">
        <v>26</v>
      </c>
      <c r="C251" s="6">
        <v>382</v>
      </c>
      <c r="D251" s="6">
        <v>25</v>
      </c>
      <c r="E251" s="6">
        <v>6</v>
      </c>
      <c r="F251" s="7">
        <f t="shared" si="28"/>
        <v>20.105263157894736</v>
      </c>
      <c r="G251" s="6">
        <v>30</v>
      </c>
      <c r="H251" s="6">
        <v>444</v>
      </c>
      <c r="I251" s="7">
        <f t="shared" si="29"/>
        <v>14.8</v>
      </c>
      <c r="J251" s="6"/>
      <c r="K251" s="6"/>
      <c r="L251" s="6"/>
      <c r="M251" s="6"/>
      <c r="N251" s="6"/>
      <c r="O251" s="6"/>
      <c r="P251" s="7"/>
      <c r="Q251" s="6"/>
      <c r="R251" s="6"/>
      <c r="S251" s="7"/>
      <c r="T251" s="6"/>
      <c r="U251" s="6"/>
      <c r="V251" s="6"/>
      <c r="W251" s="6"/>
      <c r="X251" s="6"/>
      <c r="Y251" s="11"/>
      <c r="Z251" s="6"/>
      <c r="AA251" s="6"/>
      <c r="AB251" s="11"/>
    </row>
    <row r="252" spans="1:31" x14ac:dyDescent="0.25">
      <c r="A252" s="6" t="s">
        <v>205</v>
      </c>
      <c r="B252" s="6">
        <v>94</v>
      </c>
      <c r="C252" s="6">
        <v>935</v>
      </c>
      <c r="D252" s="6">
        <v>74</v>
      </c>
      <c r="E252" s="6">
        <v>14</v>
      </c>
      <c r="F252" s="7">
        <f t="shared" si="28"/>
        <v>15.583333333333334</v>
      </c>
      <c r="G252" s="6">
        <v>162</v>
      </c>
      <c r="H252" s="6">
        <v>2560</v>
      </c>
      <c r="I252" s="7">
        <f t="shared" si="29"/>
        <v>15.802469135802468</v>
      </c>
      <c r="J252" s="6"/>
      <c r="K252" s="6"/>
      <c r="L252" s="6"/>
      <c r="M252" s="6"/>
      <c r="N252" s="6"/>
      <c r="O252" s="6"/>
      <c r="P252" s="7"/>
      <c r="Q252" s="6"/>
      <c r="R252" s="6"/>
      <c r="S252" s="7"/>
      <c r="T252" s="6"/>
      <c r="U252" s="6"/>
      <c r="V252" s="6"/>
      <c r="W252" s="6"/>
      <c r="X252" s="6"/>
      <c r="Y252" s="11"/>
      <c r="Z252" s="6"/>
      <c r="AA252" s="6"/>
      <c r="AB252" s="11"/>
    </row>
    <row r="253" spans="1:31" x14ac:dyDescent="0.25">
      <c r="A253" s="6" t="s">
        <v>206</v>
      </c>
      <c r="B253" s="6">
        <v>25</v>
      </c>
      <c r="C253" s="6">
        <v>154</v>
      </c>
      <c r="D253" s="6">
        <v>17</v>
      </c>
      <c r="E253" s="6">
        <v>4</v>
      </c>
      <c r="F253" s="7">
        <f t="shared" si="28"/>
        <v>11.846153846153847</v>
      </c>
      <c r="G253" s="6">
        <v>53</v>
      </c>
      <c r="H253" s="6">
        <v>923</v>
      </c>
      <c r="I253" s="7">
        <f t="shared" si="29"/>
        <v>17.415094339622641</v>
      </c>
      <c r="J253" s="6"/>
      <c r="K253" s="6"/>
      <c r="L253" s="6"/>
      <c r="M253" s="6"/>
      <c r="N253" s="6"/>
      <c r="O253" s="6"/>
      <c r="P253" s="7"/>
      <c r="Q253" s="6"/>
      <c r="R253" s="6"/>
      <c r="S253" s="7"/>
      <c r="T253" s="6"/>
      <c r="U253" s="6"/>
      <c r="V253" s="6"/>
      <c r="W253" s="6"/>
      <c r="X253" s="6"/>
      <c r="Y253" s="11"/>
      <c r="Z253" s="6"/>
      <c r="AA253" s="6"/>
      <c r="AB253" s="11"/>
    </row>
    <row r="254" spans="1:31" x14ac:dyDescent="0.25">
      <c r="A254" s="6" t="s">
        <v>688</v>
      </c>
      <c r="B254" s="6">
        <v>1</v>
      </c>
      <c r="C254" s="6"/>
      <c r="D254" s="6">
        <v>1</v>
      </c>
      <c r="E254" s="6"/>
      <c r="F254" s="7"/>
      <c r="G254" s="6"/>
      <c r="H254" s="6"/>
      <c r="I254" s="7"/>
      <c r="J254" s="6"/>
      <c r="K254" s="6"/>
      <c r="L254" s="6">
        <v>1</v>
      </c>
      <c r="M254" s="6"/>
      <c r="N254" s="6">
        <v>1</v>
      </c>
      <c r="O254" s="6"/>
      <c r="P254" s="7"/>
      <c r="Q254" s="6"/>
      <c r="R254" s="6"/>
      <c r="S254" s="7"/>
      <c r="T254" s="6"/>
      <c r="Y254" s="11"/>
      <c r="AB254" s="11"/>
      <c r="AD254" s="6"/>
      <c r="AE254" s="8" t="s">
        <v>23</v>
      </c>
    </row>
    <row r="255" spans="1:31" x14ac:dyDescent="0.25">
      <c r="A255" s="6" t="s">
        <v>207</v>
      </c>
      <c r="B255" s="6">
        <v>35</v>
      </c>
      <c r="C255" s="6">
        <v>428</v>
      </c>
      <c r="D255" s="6">
        <v>36</v>
      </c>
      <c r="E255" s="6">
        <v>5</v>
      </c>
      <c r="F255" s="7">
        <f t="shared" si="28"/>
        <v>13.806451612903226</v>
      </c>
      <c r="G255" s="6">
        <v>13</v>
      </c>
      <c r="H255" s="6">
        <v>307</v>
      </c>
      <c r="I255" s="7">
        <f t="shared" si="29"/>
        <v>23.615384615384617</v>
      </c>
      <c r="J255" s="6"/>
      <c r="K255" s="6"/>
      <c r="L255" s="6">
        <v>1</v>
      </c>
      <c r="M255" s="6">
        <v>11</v>
      </c>
      <c r="N255" s="6">
        <v>1</v>
      </c>
      <c r="O255" s="6"/>
      <c r="P255" s="7">
        <f t="shared" si="34"/>
        <v>11</v>
      </c>
      <c r="Q255" s="6">
        <v>1</v>
      </c>
      <c r="R255" s="6">
        <v>7</v>
      </c>
      <c r="S255" s="7">
        <f t="shared" ref="S255" si="39">(R255/Q255)</f>
        <v>7</v>
      </c>
      <c r="T255" s="6"/>
      <c r="Y255" s="11"/>
      <c r="AB255" s="11"/>
      <c r="AD255" s="6"/>
      <c r="AE255" s="8" t="s">
        <v>689</v>
      </c>
    </row>
    <row r="256" spans="1:31" x14ac:dyDescent="0.25">
      <c r="A256" s="6" t="s">
        <v>208</v>
      </c>
      <c r="B256" s="6">
        <v>24</v>
      </c>
      <c r="C256" s="6">
        <v>128</v>
      </c>
      <c r="D256" s="6">
        <v>17</v>
      </c>
      <c r="E256" s="6">
        <v>6</v>
      </c>
      <c r="F256" s="7">
        <f t="shared" si="28"/>
        <v>11.636363636363637</v>
      </c>
      <c r="G256" s="6">
        <v>33</v>
      </c>
      <c r="H256" s="6">
        <v>558</v>
      </c>
      <c r="I256" s="7">
        <f t="shared" si="29"/>
        <v>16.90909090909091</v>
      </c>
      <c r="J256" s="6"/>
      <c r="K256" s="6"/>
      <c r="L256" s="6"/>
      <c r="M256" s="6"/>
      <c r="N256" s="6"/>
      <c r="O256" s="6"/>
      <c r="P256" s="7"/>
      <c r="Q256" s="6"/>
      <c r="R256" s="6"/>
      <c r="S256" s="7"/>
      <c r="T256" s="6"/>
      <c r="Y256" s="11"/>
      <c r="AA256" s="6"/>
      <c r="AB256" s="11"/>
    </row>
    <row r="257" spans="1:32" x14ac:dyDescent="0.25">
      <c r="A257" s="6" t="s">
        <v>814</v>
      </c>
      <c r="B257" s="6">
        <v>1</v>
      </c>
      <c r="C257" s="6">
        <v>4</v>
      </c>
      <c r="D257" s="6">
        <v>1</v>
      </c>
      <c r="E257" s="6"/>
      <c r="F257" s="7">
        <f t="shared" si="28"/>
        <v>4</v>
      </c>
      <c r="G257" s="6"/>
      <c r="H257" s="6"/>
      <c r="I257" s="7"/>
      <c r="J257" s="6"/>
      <c r="K257" s="6"/>
      <c r="L257" s="6"/>
      <c r="M257" s="6"/>
      <c r="N257" s="6"/>
      <c r="O257" s="6"/>
      <c r="P257" s="7"/>
      <c r="Q257" s="6"/>
      <c r="R257" s="6"/>
      <c r="S257" s="7"/>
      <c r="T257" s="6"/>
      <c r="Y257" s="11"/>
      <c r="AA257" s="6"/>
      <c r="AB257" s="11"/>
      <c r="AE257" s="8" t="s">
        <v>23</v>
      </c>
    </row>
    <row r="258" spans="1:32" x14ac:dyDescent="0.25">
      <c r="A258" s="6" t="s">
        <v>209</v>
      </c>
      <c r="B258" s="6">
        <v>24</v>
      </c>
      <c r="C258" s="6">
        <v>704</v>
      </c>
      <c r="D258" s="6">
        <v>26</v>
      </c>
      <c r="E258" s="6">
        <v>7</v>
      </c>
      <c r="F258" s="7">
        <f t="shared" si="28"/>
        <v>37.05263157894737</v>
      </c>
      <c r="G258" s="6">
        <v>54</v>
      </c>
      <c r="H258" s="6">
        <v>812</v>
      </c>
      <c r="I258" s="7">
        <f t="shared" si="29"/>
        <v>15.037037037037036</v>
      </c>
      <c r="J258" s="6"/>
      <c r="K258" s="6"/>
      <c r="L258" s="6"/>
      <c r="M258" s="6"/>
      <c r="N258" s="6"/>
      <c r="O258" s="6"/>
      <c r="P258" s="7"/>
      <c r="Q258" s="6"/>
      <c r="R258" s="6"/>
      <c r="S258" s="7"/>
      <c r="T258" s="6"/>
      <c r="Y258" s="11"/>
      <c r="AA258" s="6"/>
      <c r="AB258" s="11"/>
    </row>
    <row r="259" spans="1:32" x14ac:dyDescent="0.25">
      <c r="A259" s="6" t="s">
        <v>210</v>
      </c>
      <c r="B259" s="6">
        <v>1</v>
      </c>
      <c r="C259" s="6">
        <v>84</v>
      </c>
      <c r="D259" s="6">
        <v>2</v>
      </c>
      <c r="E259" s="6">
        <v>2</v>
      </c>
      <c r="F259" s="7"/>
      <c r="G259" s="6">
        <v>4</v>
      </c>
      <c r="H259" s="6">
        <v>12</v>
      </c>
      <c r="I259" s="7">
        <f t="shared" si="29"/>
        <v>3</v>
      </c>
      <c r="J259" s="6"/>
      <c r="K259" s="6"/>
      <c r="L259" s="6"/>
      <c r="M259" s="6"/>
      <c r="N259" s="6"/>
      <c r="O259" s="6"/>
      <c r="P259" s="7"/>
      <c r="Q259" s="6"/>
      <c r="R259" s="6"/>
      <c r="S259" s="7"/>
      <c r="T259" s="6"/>
      <c r="Y259" s="11"/>
      <c r="AA259" s="6"/>
      <c r="AB259" s="11"/>
    </row>
    <row r="260" spans="1:32" x14ac:dyDescent="0.25">
      <c r="A260" s="6" t="s">
        <v>211</v>
      </c>
      <c r="B260" s="6">
        <v>3</v>
      </c>
      <c r="C260" s="6">
        <v>18</v>
      </c>
      <c r="D260" s="6">
        <v>3</v>
      </c>
      <c r="E260" s="6"/>
      <c r="F260" s="7">
        <f t="shared" si="28"/>
        <v>6</v>
      </c>
      <c r="G260" s="6">
        <v>4</v>
      </c>
      <c r="H260" s="6">
        <v>43</v>
      </c>
      <c r="I260" s="7">
        <f t="shared" si="29"/>
        <v>10.75</v>
      </c>
      <c r="J260" s="6"/>
      <c r="K260" s="6"/>
      <c r="L260" s="6"/>
      <c r="M260" s="6"/>
      <c r="N260" s="6"/>
      <c r="O260" s="6"/>
      <c r="P260" s="7"/>
      <c r="Q260" s="6"/>
      <c r="R260" s="6"/>
      <c r="S260" s="7"/>
      <c r="T260" s="6"/>
      <c r="Y260" s="11"/>
      <c r="AA260" s="6"/>
      <c r="AB260" s="11"/>
    </row>
    <row r="261" spans="1:32" x14ac:dyDescent="0.25">
      <c r="A261" s="6" t="s">
        <v>212</v>
      </c>
      <c r="B261" s="6">
        <v>2</v>
      </c>
      <c r="C261" s="6">
        <v>13</v>
      </c>
      <c r="D261" s="6">
        <v>2</v>
      </c>
      <c r="E261" s="6"/>
      <c r="F261" s="7">
        <f t="shared" si="28"/>
        <v>6.5</v>
      </c>
      <c r="G261" s="6"/>
      <c r="H261" s="6">
        <v>14</v>
      </c>
      <c r="I261" s="7"/>
      <c r="J261" s="6"/>
      <c r="K261" s="6"/>
      <c r="L261" s="6"/>
      <c r="M261" s="6"/>
      <c r="N261" s="6"/>
      <c r="O261" s="6"/>
      <c r="P261" s="7"/>
      <c r="Q261" s="6"/>
      <c r="R261" s="6"/>
      <c r="S261" s="7"/>
      <c r="T261" s="6"/>
      <c r="Y261" s="11"/>
      <c r="AA261" s="6"/>
      <c r="AB261" s="11"/>
    </row>
    <row r="262" spans="1:32" x14ac:dyDescent="0.25">
      <c r="A262" s="6" t="s">
        <v>690</v>
      </c>
      <c r="B262" s="6">
        <v>3.5</v>
      </c>
      <c r="C262" s="6">
        <v>24</v>
      </c>
      <c r="D262" s="6">
        <v>5</v>
      </c>
      <c r="E262" s="6"/>
      <c r="F262" s="7">
        <f t="shared" si="28"/>
        <v>4.8</v>
      </c>
      <c r="G262" s="6">
        <v>3</v>
      </c>
      <c r="H262" s="6">
        <v>86</v>
      </c>
      <c r="I262" s="7">
        <f t="shared" si="29"/>
        <v>28.666666666666668</v>
      </c>
      <c r="J262" s="6"/>
      <c r="K262" s="6"/>
      <c r="L262" s="6">
        <v>5</v>
      </c>
      <c r="M262" s="6">
        <v>24</v>
      </c>
      <c r="N262" s="6">
        <v>5</v>
      </c>
      <c r="O262" s="6"/>
      <c r="P262" s="7">
        <f t="shared" si="34"/>
        <v>4.8</v>
      </c>
      <c r="Q262" s="6">
        <v>3</v>
      </c>
      <c r="R262" s="6">
        <v>86</v>
      </c>
      <c r="S262" s="7">
        <f t="shared" ref="S262:S266" si="40">(R262/Q262)</f>
        <v>28.666666666666668</v>
      </c>
      <c r="T262" s="6"/>
      <c r="Y262" s="11"/>
      <c r="AB262" s="11"/>
      <c r="AD262" s="6"/>
      <c r="AE262" s="8" t="s">
        <v>692</v>
      </c>
    </row>
    <row r="263" spans="1:32" x14ac:dyDescent="0.25">
      <c r="A263" s="6" t="s">
        <v>691</v>
      </c>
      <c r="B263" s="6">
        <v>2</v>
      </c>
      <c r="C263" s="6">
        <v>2</v>
      </c>
      <c r="D263" s="6">
        <v>2</v>
      </c>
      <c r="E263" s="6"/>
      <c r="F263" s="7">
        <f t="shared" si="28"/>
        <v>1</v>
      </c>
      <c r="G263" s="6">
        <v>5</v>
      </c>
      <c r="H263" s="6">
        <v>46</v>
      </c>
      <c r="I263" s="7">
        <f t="shared" si="29"/>
        <v>9.1999999999999993</v>
      </c>
      <c r="J263" s="6"/>
      <c r="K263" s="6"/>
      <c r="L263" s="6">
        <v>2</v>
      </c>
      <c r="M263" s="6">
        <v>2</v>
      </c>
      <c r="N263" s="6">
        <v>2</v>
      </c>
      <c r="O263" s="6"/>
      <c r="P263" s="7">
        <f t="shared" si="34"/>
        <v>1</v>
      </c>
      <c r="Q263" s="6">
        <v>5</v>
      </c>
      <c r="R263" s="6">
        <v>46</v>
      </c>
      <c r="S263" s="7">
        <f t="shared" si="40"/>
        <v>9.1999999999999993</v>
      </c>
      <c r="T263" s="6"/>
      <c r="Y263" s="11"/>
      <c r="AB263" s="11"/>
      <c r="AD263" s="6"/>
      <c r="AE263" s="8" t="s">
        <v>41</v>
      </c>
    </row>
    <row r="264" spans="1:32" x14ac:dyDescent="0.25">
      <c r="A264" s="6" t="s">
        <v>213</v>
      </c>
      <c r="B264" s="6">
        <v>9</v>
      </c>
      <c r="C264" s="6">
        <v>174</v>
      </c>
      <c r="D264" s="6">
        <v>11</v>
      </c>
      <c r="E264" s="6"/>
      <c r="F264" s="7">
        <f t="shared" si="28"/>
        <v>15.818181818181818</v>
      </c>
      <c r="G264" s="6"/>
      <c r="H264" s="6">
        <v>57</v>
      </c>
      <c r="I264" s="7"/>
      <c r="J264" s="6"/>
      <c r="K264" s="6"/>
      <c r="L264" s="6">
        <v>4</v>
      </c>
      <c r="M264" s="6">
        <v>75</v>
      </c>
      <c r="N264" s="6">
        <v>4</v>
      </c>
      <c r="O264" s="6"/>
      <c r="P264" s="7">
        <f t="shared" si="34"/>
        <v>18.75</v>
      </c>
      <c r="Q264" s="6"/>
      <c r="R264" s="6">
        <v>57</v>
      </c>
      <c r="S264" s="7"/>
      <c r="T264" s="6"/>
      <c r="Y264" s="11"/>
      <c r="AB264" s="11"/>
      <c r="AD264" s="6"/>
      <c r="AE264" s="8" t="s">
        <v>693</v>
      </c>
    </row>
    <row r="265" spans="1:32" x14ac:dyDescent="0.25">
      <c r="A265" s="6" t="s">
        <v>784</v>
      </c>
      <c r="B265" s="6">
        <v>68</v>
      </c>
      <c r="C265" s="6">
        <v>1526</v>
      </c>
      <c r="D265" s="6">
        <v>65</v>
      </c>
      <c r="E265" s="6">
        <v>2</v>
      </c>
      <c r="F265" s="7">
        <f t="shared" si="28"/>
        <v>24.222222222222221</v>
      </c>
      <c r="G265" s="6">
        <v>44</v>
      </c>
      <c r="H265" s="6">
        <v>1026</v>
      </c>
      <c r="I265" s="7">
        <f t="shared" si="29"/>
        <v>23.318181818181817</v>
      </c>
      <c r="J265" s="6"/>
      <c r="K265" s="6"/>
      <c r="L265" s="6"/>
      <c r="M265" s="6"/>
      <c r="N265" s="6"/>
      <c r="O265" s="6"/>
      <c r="P265" s="7"/>
      <c r="Q265" s="6"/>
      <c r="R265" s="6"/>
      <c r="S265" s="7"/>
      <c r="T265" s="6"/>
      <c r="U265" s="6">
        <v>6</v>
      </c>
      <c r="V265" s="6">
        <v>144</v>
      </c>
      <c r="W265" s="6">
        <v>6</v>
      </c>
      <c r="X265" s="6"/>
      <c r="Y265" s="11">
        <f t="shared" ref="Y265" si="41">(V265)/(W265-X265)</f>
        <v>24</v>
      </c>
      <c r="Z265" s="6">
        <v>4</v>
      </c>
      <c r="AA265" s="6">
        <v>119</v>
      </c>
      <c r="AB265" s="11">
        <f t="shared" ref="AB265" si="42">AA265/Z265</f>
        <v>29.75</v>
      </c>
      <c r="AC265" s="6"/>
      <c r="AD265" s="6"/>
      <c r="AE265" s="6" t="s">
        <v>966</v>
      </c>
      <c r="AF265" s="6"/>
    </row>
    <row r="266" spans="1:32" x14ac:dyDescent="0.25">
      <c r="A266" s="6" t="s">
        <v>659</v>
      </c>
      <c r="B266" s="6">
        <v>32</v>
      </c>
      <c r="C266" s="6">
        <v>115</v>
      </c>
      <c r="D266" s="6">
        <v>27</v>
      </c>
      <c r="E266" s="6">
        <v>10</v>
      </c>
      <c r="F266" s="7">
        <f t="shared" si="28"/>
        <v>6.7647058823529411</v>
      </c>
      <c r="G266" s="6">
        <v>55</v>
      </c>
      <c r="H266" s="6">
        <v>1225</v>
      </c>
      <c r="I266" s="7">
        <f t="shared" si="29"/>
        <v>22.272727272727273</v>
      </c>
      <c r="J266" s="6"/>
      <c r="K266" s="6"/>
      <c r="L266" s="6">
        <v>46</v>
      </c>
      <c r="M266" s="6">
        <v>103</v>
      </c>
      <c r="N266" s="6">
        <v>25</v>
      </c>
      <c r="O266" s="6">
        <v>13</v>
      </c>
      <c r="P266" s="7">
        <f t="shared" si="34"/>
        <v>8.5833333333333339</v>
      </c>
      <c r="Q266" s="6">
        <v>53</v>
      </c>
      <c r="R266" s="6">
        <v>1106</v>
      </c>
      <c r="S266" s="7">
        <f t="shared" si="40"/>
        <v>20.867924528301888</v>
      </c>
      <c r="T266" s="6"/>
      <c r="Y266" s="11"/>
      <c r="AB266" s="11"/>
      <c r="AD266" s="6"/>
      <c r="AE266" s="8" t="s">
        <v>815</v>
      </c>
    </row>
    <row r="267" spans="1:32" x14ac:dyDescent="0.25">
      <c r="A267" s="6" t="s">
        <v>214</v>
      </c>
      <c r="B267" s="6">
        <v>2</v>
      </c>
      <c r="C267" s="6">
        <v>20</v>
      </c>
      <c r="D267" s="6">
        <v>3</v>
      </c>
      <c r="E267" s="6"/>
      <c r="F267" s="7">
        <f t="shared" si="28"/>
        <v>6.666666666666667</v>
      </c>
      <c r="G267" s="6"/>
      <c r="H267" s="6"/>
      <c r="I267" s="7"/>
      <c r="J267" s="6"/>
      <c r="K267" s="6"/>
      <c r="L267" s="6"/>
      <c r="M267" s="6"/>
      <c r="N267" s="6"/>
      <c r="O267" s="6"/>
      <c r="P267" s="7"/>
      <c r="Q267" s="6"/>
      <c r="R267" s="6"/>
      <c r="S267" s="7"/>
      <c r="T267" s="6"/>
      <c r="Y267" s="11"/>
      <c r="AA267" s="6"/>
      <c r="AB267" s="11"/>
    </row>
    <row r="268" spans="1:32" x14ac:dyDescent="0.25">
      <c r="A268" s="6" t="s">
        <v>215</v>
      </c>
      <c r="B268" s="11">
        <v>235</v>
      </c>
      <c r="C268" s="6">
        <v>4359</v>
      </c>
      <c r="D268" s="6">
        <v>219</v>
      </c>
      <c r="E268" s="6">
        <v>29</v>
      </c>
      <c r="F268" s="7">
        <f t="shared" si="28"/>
        <v>22.942105263157895</v>
      </c>
      <c r="G268" s="6">
        <v>357</v>
      </c>
      <c r="H268" s="6">
        <v>5842</v>
      </c>
      <c r="I268" s="7">
        <f t="shared" si="29"/>
        <v>16.364145658263304</v>
      </c>
      <c r="J268" s="6"/>
      <c r="K268" s="6"/>
      <c r="L268" s="6">
        <v>10</v>
      </c>
      <c r="M268" s="6">
        <v>248</v>
      </c>
      <c r="N268" s="6">
        <v>7</v>
      </c>
      <c r="O268" s="6">
        <v>3</v>
      </c>
      <c r="P268" s="7">
        <f t="shared" si="34"/>
        <v>62</v>
      </c>
      <c r="Q268" s="6">
        <v>12</v>
      </c>
      <c r="R268" s="6">
        <v>182</v>
      </c>
      <c r="S268" s="7">
        <f t="shared" ref="S268:S303" si="43">(R268/Q268)</f>
        <v>15.166666666666666</v>
      </c>
      <c r="T268" s="6"/>
      <c r="U268" s="13">
        <v>13</v>
      </c>
      <c r="V268" s="6">
        <v>251</v>
      </c>
      <c r="W268" s="6">
        <v>10</v>
      </c>
      <c r="X268" s="6">
        <v>1</v>
      </c>
      <c r="Y268" s="11">
        <f t="shared" ref="Y268:Y283" si="44">(V268)/(W268-X268)</f>
        <v>27.888888888888889</v>
      </c>
      <c r="Z268" s="6">
        <v>15</v>
      </c>
      <c r="AA268" s="6">
        <v>277</v>
      </c>
      <c r="AB268" s="11">
        <f t="shared" ref="AB268:AB318" si="45">AA268/Z268</f>
        <v>18.466666666666665</v>
      </c>
      <c r="AD268" s="11"/>
      <c r="AE268" s="8" t="s">
        <v>937</v>
      </c>
    </row>
    <row r="269" spans="1:32" x14ac:dyDescent="0.25">
      <c r="A269" s="6" t="s">
        <v>967</v>
      </c>
      <c r="B269" s="14">
        <v>15</v>
      </c>
      <c r="C269" s="6">
        <v>26</v>
      </c>
      <c r="D269" s="6">
        <v>8</v>
      </c>
      <c r="E269" s="6">
        <v>1</v>
      </c>
      <c r="F269" s="7">
        <f t="shared" si="28"/>
        <v>3.7142857142857144</v>
      </c>
      <c r="G269" s="6">
        <v>5</v>
      </c>
      <c r="H269" s="6">
        <v>223</v>
      </c>
      <c r="I269" s="7">
        <f t="shared" si="29"/>
        <v>44.6</v>
      </c>
      <c r="J269" s="6"/>
      <c r="K269" s="6"/>
      <c r="L269" s="6"/>
      <c r="M269" s="6"/>
      <c r="N269" s="6"/>
      <c r="O269" s="6"/>
      <c r="P269" s="7"/>
      <c r="Q269" s="6"/>
      <c r="R269" s="6"/>
      <c r="S269" s="7"/>
      <c r="T269" s="6"/>
      <c r="U269" s="13">
        <v>4</v>
      </c>
      <c r="V269" s="6">
        <v>4</v>
      </c>
      <c r="W269" s="6">
        <v>1</v>
      </c>
      <c r="X269" s="6"/>
      <c r="Y269" s="11">
        <f t="shared" si="44"/>
        <v>4</v>
      </c>
      <c r="Z269" s="6">
        <v>4</v>
      </c>
      <c r="AA269" s="6">
        <v>83</v>
      </c>
      <c r="AB269" s="11">
        <f t="shared" si="45"/>
        <v>20.75</v>
      </c>
      <c r="AD269" s="11"/>
      <c r="AE269" s="8" t="s">
        <v>926</v>
      </c>
    </row>
    <row r="270" spans="1:32" x14ac:dyDescent="0.25">
      <c r="A270" s="6" t="s">
        <v>641</v>
      </c>
      <c r="B270" s="6">
        <v>4</v>
      </c>
      <c r="C270" s="6">
        <v>155</v>
      </c>
      <c r="D270" s="6">
        <v>4</v>
      </c>
      <c r="E270" s="6">
        <v>1</v>
      </c>
      <c r="F270" s="7">
        <f t="shared" si="28"/>
        <v>51.666666666666664</v>
      </c>
      <c r="G270" s="6">
        <v>2</v>
      </c>
      <c r="H270" s="6">
        <v>30</v>
      </c>
      <c r="I270" s="7">
        <f t="shared" si="29"/>
        <v>15</v>
      </c>
      <c r="J270" s="6"/>
      <c r="K270" s="6"/>
      <c r="L270" s="6"/>
      <c r="M270" s="6"/>
      <c r="N270" s="6"/>
      <c r="O270" s="6"/>
      <c r="P270" s="7"/>
      <c r="Q270" s="6"/>
      <c r="R270" s="6"/>
      <c r="S270" s="7"/>
      <c r="T270" s="6"/>
      <c r="Y270" s="11"/>
      <c r="AA270" s="6"/>
      <c r="AB270" s="11"/>
    </row>
    <row r="271" spans="1:32" x14ac:dyDescent="0.25">
      <c r="A271" s="6" t="s">
        <v>216</v>
      </c>
      <c r="B271" s="6">
        <v>8</v>
      </c>
      <c r="C271" s="6">
        <v>144</v>
      </c>
      <c r="D271" s="6">
        <v>10</v>
      </c>
      <c r="E271" s="6">
        <v>5</v>
      </c>
      <c r="F271" s="7">
        <f t="shared" si="28"/>
        <v>28.8</v>
      </c>
      <c r="G271" s="6">
        <v>3</v>
      </c>
      <c r="H271" s="6">
        <v>136</v>
      </c>
      <c r="I271" s="7">
        <f t="shared" si="29"/>
        <v>45.333333333333336</v>
      </c>
      <c r="J271" s="6"/>
      <c r="K271" s="6"/>
      <c r="L271" s="6">
        <v>2</v>
      </c>
      <c r="M271" s="6"/>
      <c r="N271" s="6">
        <v>1</v>
      </c>
      <c r="O271" s="6">
        <v>1</v>
      </c>
      <c r="P271" s="10" t="s">
        <v>804</v>
      </c>
      <c r="Q271" s="6">
        <v>2</v>
      </c>
      <c r="R271" s="6">
        <v>22</v>
      </c>
      <c r="S271" s="7">
        <f t="shared" si="43"/>
        <v>11</v>
      </c>
      <c r="T271" s="6"/>
      <c r="Y271" s="11"/>
      <c r="AB271" s="11"/>
      <c r="AD271" s="6"/>
      <c r="AE271" s="8" t="s">
        <v>217</v>
      </c>
    </row>
    <row r="272" spans="1:32" x14ac:dyDescent="0.25">
      <c r="A272" s="6" t="s">
        <v>218</v>
      </c>
      <c r="B272" s="6">
        <v>69</v>
      </c>
      <c r="C272" s="6">
        <v>157</v>
      </c>
      <c r="D272" s="6">
        <v>71</v>
      </c>
      <c r="E272" s="6">
        <v>3</v>
      </c>
      <c r="F272" s="7">
        <f t="shared" si="28"/>
        <v>2.3088235294117645</v>
      </c>
      <c r="G272" s="6">
        <v>20</v>
      </c>
      <c r="H272" s="6">
        <v>500</v>
      </c>
      <c r="I272" s="7">
        <f t="shared" si="29"/>
        <v>25</v>
      </c>
      <c r="J272" s="6"/>
      <c r="K272" s="6"/>
      <c r="L272" s="6">
        <v>3</v>
      </c>
      <c r="M272" s="6">
        <v>44</v>
      </c>
      <c r="N272" s="6">
        <v>2</v>
      </c>
      <c r="O272" s="6"/>
      <c r="P272" s="7">
        <f t="shared" si="34"/>
        <v>22</v>
      </c>
      <c r="Q272" s="6">
        <v>2</v>
      </c>
      <c r="R272" s="6">
        <v>62</v>
      </c>
      <c r="S272" s="7">
        <f t="shared" si="43"/>
        <v>31</v>
      </c>
      <c r="T272" s="6"/>
      <c r="Y272" s="11"/>
      <c r="AB272" s="11"/>
      <c r="AD272" s="6"/>
      <c r="AE272" s="8" t="s">
        <v>879</v>
      </c>
    </row>
    <row r="273" spans="1:31" x14ac:dyDescent="0.25">
      <c r="A273" s="6" t="s">
        <v>851</v>
      </c>
      <c r="B273" s="6">
        <v>10</v>
      </c>
      <c r="C273" s="6">
        <v>67</v>
      </c>
      <c r="D273" s="6">
        <v>6</v>
      </c>
      <c r="E273" s="6">
        <v>1</v>
      </c>
      <c r="F273" s="7">
        <f t="shared" si="28"/>
        <v>13.4</v>
      </c>
      <c r="G273" s="6">
        <v>8</v>
      </c>
      <c r="H273" s="6">
        <v>230</v>
      </c>
      <c r="I273" s="7">
        <f t="shared" si="29"/>
        <v>28.75</v>
      </c>
      <c r="J273" s="6"/>
      <c r="K273" s="6"/>
      <c r="L273" s="6"/>
      <c r="M273" s="6"/>
      <c r="N273" s="6"/>
      <c r="O273" s="6"/>
      <c r="P273" s="7"/>
      <c r="Q273" s="6"/>
      <c r="R273" s="6"/>
      <c r="S273" s="7"/>
      <c r="T273" s="6"/>
      <c r="Y273" s="11"/>
      <c r="AA273" s="6"/>
      <c r="AB273" s="11"/>
    </row>
    <row r="274" spans="1:31" x14ac:dyDescent="0.25">
      <c r="A274" s="6" t="s">
        <v>219</v>
      </c>
      <c r="B274" s="6">
        <v>34.5</v>
      </c>
      <c r="C274" s="6">
        <v>522</v>
      </c>
      <c r="D274" s="6">
        <v>36</v>
      </c>
      <c r="E274" s="6">
        <v>9</v>
      </c>
      <c r="F274" s="7">
        <f t="shared" si="28"/>
        <v>19.333333333333332</v>
      </c>
      <c r="G274" s="6">
        <v>19</v>
      </c>
      <c r="H274" s="6">
        <v>301</v>
      </c>
      <c r="I274" s="7">
        <f t="shared" si="29"/>
        <v>15.842105263157896</v>
      </c>
      <c r="J274" s="6"/>
      <c r="K274" s="6"/>
      <c r="L274" s="6">
        <v>7</v>
      </c>
      <c r="M274" s="6">
        <v>19</v>
      </c>
      <c r="N274" s="6">
        <v>5</v>
      </c>
      <c r="O274" s="6">
        <v>2</v>
      </c>
      <c r="P274" s="7">
        <f t="shared" si="34"/>
        <v>6.333333333333333</v>
      </c>
      <c r="Q274" s="6"/>
      <c r="R274" s="6"/>
      <c r="S274" s="7"/>
      <c r="T274" s="6"/>
      <c r="Y274" s="11"/>
      <c r="AB274" s="11"/>
      <c r="AD274" s="6"/>
      <c r="AE274" s="8" t="s">
        <v>220</v>
      </c>
    </row>
    <row r="275" spans="1:31" x14ac:dyDescent="0.25">
      <c r="A275" s="6" t="s">
        <v>221</v>
      </c>
      <c r="B275" s="6">
        <v>4</v>
      </c>
      <c r="C275" s="6">
        <v>84</v>
      </c>
      <c r="D275" s="6">
        <v>7</v>
      </c>
      <c r="E275" s="6">
        <v>1</v>
      </c>
      <c r="F275" s="7">
        <f t="shared" si="28"/>
        <v>14</v>
      </c>
      <c r="G275" s="6">
        <v>4</v>
      </c>
      <c r="H275" s="6">
        <v>86</v>
      </c>
      <c r="I275" s="7">
        <f t="shared" si="29"/>
        <v>21.5</v>
      </c>
      <c r="J275" s="6"/>
      <c r="K275" s="6"/>
      <c r="L275" s="6"/>
      <c r="M275" s="6"/>
      <c r="N275" s="6"/>
      <c r="O275" s="6"/>
      <c r="P275" s="7"/>
      <c r="Q275" s="6"/>
      <c r="R275" s="6"/>
      <c r="S275" s="7"/>
      <c r="T275" s="6"/>
      <c r="Y275" s="11"/>
      <c r="AA275" s="6"/>
      <c r="AB275" s="11"/>
    </row>
    <row r="276" spans="1:31" x14ac:dyDescent="0.25">
      <c r="A276" s="6" t="s">
        <v>222</v>
      </c>
      <c r="B276" s="6">
        <v>7</v>
      </c>
      <c r="C276" s="6">
        <v>28</v>
      </c>
      <c r="D276" s="6">
        <v>5</v>
      </c>
      <c r="E276" s="6"/>
      <c r="F276" s="7">
        <f t="shared" si="28"/>
        <v>5.6</v>
      </c>
      <c r="G276" s="6">
        <v>7</v>
      </c>
      <c r="H276" s="6">
        <v>181</v>
      </c>
      <c r="I276" s="7">
        <f t="shared" si="29"/>
        <v>25.857142857142858</v>
      </c>
      <c r="J276" s="6"/>
      <c r="K276" s="6"/>
      <c r="L276" s="6">
        <v>1</v>
      </c>
      <c r="M276" s="6"/>
      <c r="N276" s="6"/>
      <c r="O276" s="6"/>
      <c r="P276" s="7"/>
      <c r="Q276" s="6">
        <v>2</v>
      </c>
      <c r="R276" s="6">
        <v>20</v>
      </c>
      <c r="S276" s="7">
        <f t="shared" si="43"/>
        <v>10</v>
      </c>
      <c r="T276" s="6"/>
      <c r="Y276" s="11"/>
      <c r="AB276" s="11"/>
      <c r="AD276" s="6"/>
      <c r="AE276" s="8" t="s">
        <v>223</v>
      </c>
    </row>
    <row r="277" spans="1:31" x14ac:dyDescent="0.25">
      <c r="A277" s="6" t="s">
        <v>224</v>
      </c>
      <c r="B277" s="6">
        <v>52</v>
      </c>
      <c r="C277" s="6">
        <v>787</v>
      </c>
      <c r="D277" s="6">
        <v>57</v>
      </c>
      <c r="E277" s="6">
        <v>10</v>
      </c>
      <c r="F277" s="7">
        <f t="shared" ref="F277:F369" si="46">(C277/(D277-E277))</f>
        <v>16.74468085106383</v>
      </c>
      <c r="G277" s="6">
        <v>72</v>
      </c>
      <c r="H277" s="6">
        <v>1343</v>
      </c>
      <c r="I277" s="7">
        <f t="shared" ref="I277:I368" si="47">(H277/G277)</f>
        <v>18.652777777777779</v>
      </c>
      <c r="J277" s="6"/>
      <c r="K277" s="6"/>
      <c r="L277" s="6"/>
      <c r="M277" s="6"/>
      <c r="N277" s="6"/>
      <c r="O277" s="6"/>
      <c r="P277" s="7"/>
      <c r="Q277" s="6"/>
      <c r="R277" s="6"/>
      <c r="S277" s="7"/>
      <c r="T277" s="6"/>
      <c r="Y277" s="11"/>
      <c r="AA277" s="6"/>
      <c r="AB277" s="11"/>
    </row>
    <row r="278" spans="1:31" x14ac:dyDescent="0.25">
      <c r="A278" s="6" t="s">
        <v>852</v>
      </c>
      <c r="B278" s="6">
        <v>216</v>
      </c>
      <c r="C278" s="6">
        <v>3441</v>
      </c>
      <c r="D278" s="6">
        <v>226</v>
      </c>
      <c r="E278" s="6">
        <v>41</v>
      </c>
      <c r="F278" s="7">
        <f t="shared" si="46"/>
        <v>18.600000000000001</v>
      </c>
      <c r="G278" s="6">
        <v>61</v>
      </c>
      <c r="H278" s="6">
        <v>1679</v>
      </c>
      <c r="I278" s="7">
        <f t="shared" si="47"/>
        <v>27.524590163934427</v>
      </c>
      <c r="J278" s="6"/>
      <c r="K278" s="6"/>
      <c r="L278" s="6">
        <v>83</v>
      </c>
      <c r="M278" s="6">
        <v>1420</v>
      </c>
      <c r="N278" s="6">
        <v>68</v>
      </c>
      <c r="O278" s="6">
        <v>14</v>
      </c>
      <c r="P278" s="7">
        <f t="shared" si="34"/>
        <v>26.296296296296298</v>
      </c>
      <c r="Q278" s="6">
        <v>34</v>
      </c>
      <c r="R278" s="6">
        <v>771</v>
      </c>
      <c r="S278" s="7">
        <f t="shared" si="43"/>
        <v>22.676470588235293</v>
      </c>
      <c r="T278" s="6"/>
      <c r="Y278" s="11"/>
      <c r="AB278" s="11"/>
      <c r="AD278" s="6"/>
      <c r="AE278" s="8" t="s">
        <v>919</v>
      </c>
    </row>
    <row r="279" spans="1:31" x14ac:dyDescent="0.25">
      <c r="A279" s="6" t="s">
        <v>920</v>
      </c>
      <c r="B279" s="6">
        <v>29</v>
      </c>
      <c r="C279" s="6">
        <v>89</v>
      </c>
      <c r="D279" s="6">
        <v>16</v>
      </c>
      <c r="E279" s="6">
        <v>2</v>
      </c>
      <c r="F279" s="7">
        <f t="shared" si="46"/>
        <v>6.3571428571428568</v>
      </c>
      <c r="G279" s="6">
        <v>13</v>
      </c>
      <c r="H279" s="6">
        <v>665</v>
      </c>
      <c r="I279" s="7">
        <f t="shared" si="47"/>
        <v>51.153846153846153</v>
      </c>
      <c r="J279" s="6"/>
      <c r="K279" s="6"/>
      <c r="L279" s="6"/>
      <c r="M279" s="6"/>
      <c r="N279" s="6"/>
      <c r="O279" s="6"/>
      <c r="P279" s="7"/>
      <c r="Q279" s="6"/>
      <c r="R279" s="6"/>
      <c r="S279" s="7"/>
      <c r="T279" s="6"/>
      <c r="Y279" s="11"/>
      <c r="AA279" s="6"/>
      <c r="AB279" s="11"/>
    </row>
    <row r="280" spans="1:31" x14ac:dyDescent="0.25">
      <c r="A280" s="6" t="s">
        <v>225</v>
      </c>
      <c r="B280" s="6">
        <v>7</v>
      </c>
      <c r="C280" s="6">
        <v>69</v>
      </c>
      <c r="D280" s="6">
        <v>6</v>
      </c>
      <c r="E280" s="6">
        <v>2</v>
      </c>
      <c r="F280" s="7">
        <f t="shared" si="46"/>
        <v>17.25</v>
      </c>
      <c r="G280" s="6">
        <v>6</v>
      </c>
      <c r="H280" s="6">
        <v>241</v>
      </c>
      <c r="I280" s="7">
        <f t="shared" si="47"/>
        <v>40.166666666666664</v>
      </c>
      <c r="J280" s="6"/>
      <c r="K280" s="6"/>
      <c r="L280" s="6"/>
      <c r="M280" s="6"/>
      <c r="N280" s="6"/>
      <c r="O280" s="6"/>
      <c r="P280" s="7"/>
      <c r="Q280" s="6"/>
      <c r="R280" s="6"/>
      <c r="S280" s="7"/>
      <c r="T280" s="6"/>
      <c r="Y280" s="11"/>
      <c r="AA280" s="6"/>
      <c r="AB280" s="11"/>
    </row>
    <row r="281" spans="1:31" x14ac:dyDescent="0.25">
      <c r="A281" s="6" t="s">
        <v>724</v>
      </c>
      <c r="B281" s="6">
        <v>10.5</v>
      </c>
      <c r="C281" s="6">
        <v>414</v>
      </c>
      <c r="D281" s="6">
        <v>14</v>
      </c>
      <c r="E281" s="6">
        <v>3</v>
      </c>
      <c r="F281" s="7">
        <f t="shared" si="46"/>
        <v>37.636363636363633</v>
      </c>
      <c r="G281" s="6">
        <v>10</v>
      </c>
      <c r="H281" s="6">
        <v>229</v>
      </c>
      <c r="I281" s="7">
        <f t="shared" si="47"/>
        <v>22.9</v>
      </c>
      <c r="J281" s="6"/>
      <c r="K281" s="6"/>
      <c r="L281" s="6">
        <v>15</v>
      </c>
      <c r="M281" s="6">
        <v>414</v>
      </c>
      <c r="N281" s="6">
        <v>14</v>
      </c>
      <c r="O281" s="6">
        <v>3</v>
      </c>
      <c r="P281" s="7">
        <f t="shared" si="34"/>
        <v>37.636363636363633</v>
      </c>
      <c r="Q281" s="6">
        <v>10</v>
      </c>
      <c r="R281" s="6">
        <v>229</v>
      </c>
      <c r="S281" s="7">
        <f t="shared" si="43"/>
        <v>22.9</v>
      </c>
      <c r="T281" s="6"/>
      <c r="Y281" s="11"/>
      <c r="AB281" s="11"/>
      <c r="AD281" s="6"/>
      <c r="AE281" s="8" t="s">
        <v>744</v>
      </c>
    </row>
    <row r="282" spans="1:31" x14ac:dyDescent="0.25">
      <c r="A282" s="6" t="s">
        <v>226</v>
      </c>
      <c r="B282" s="6">
        <v>16</v>
      </c>
      <c r="C282" s="6">
        <v>523</v>
      </c>
      <c r="D282" s="6">
        <v>18</v>
      </c>
      <c r="E282" s="6">
        <v>3</v>
      </c>
      <c r="F282" s="7">
        <f t="shared" si="46"/>
        <v>34.866666666666667</v>
      </c>
      <c r="G282" s="6">
        <v>8</v>
      </c>
      <c r="H282" s="6">
        <v>132</v>
      </c>
      <c r="I282" s="7">
        <f t="shared" si="47"/>
        <v>16.5</v>
      </c>
      <c r="J282" s="6"/>
      <c r="K282" s="6"/>
      <c r="L282" s="6"/>
      <c r="M282" s="6"/>
      <c r="N282" s="6"/>
      <c r="O282" s="6"/>
      <c r="P282" s="7"/>
      <c r="Q282" s="6"/>
      <c r="R282" s="6"/>
      <c r="S282" s="7"/>
      <c r="T282" s="6"/>
      <c r="Y282" s="11"/>
      <c r="AA282" s="6"/>
      <c r="AB282" s="11"/>
    </row>
    <row r="283" spans="1:31" x14ac:dyDescent="0.25">
      <c r="A283" s="6" t="s">
        <v>785</v>
      </c>
      <c r="B283" s="6">
        <v>37.5</v>
      </c>
      <c r="C283" s="6">
        <v>273</v>
      </c>
      <c r="D283" s="6">
        <v>33</v>
      </c>
      <c r="E283" s="6">
        <v>4</v>
      </c>
      <c r="F283" s="7">
        <f t="shared" si="46"/>
        <v>9.4137931034482758</v>
      </c>
      <c r="G283" s="6">
        <v>28</v>
      </c>
      <c r="H283" s="6">
        <v>972</v>
      </c>
      <c r="I283" s="7">
        <f t="shared" si="47"/>
        <v>34.714285714285715</v>
      </c>
      <c r="J283" s="6"/>
      <c r="K283" s="6"/>
      <c r="L283" s="6">
        <v>4</v>
      </c>
      <c r="M283" s="6">
        <v>90</v>
      </c>
      <c r="N283" s="6">
        <v>4</v>
      </c>
      <c r="O283" s="6"/>
      <c r="P283" s="7">
        <f t="shared" si="34"/>
        <v>22.5</v>
      </c>
      <c r="Q283" s="6"/>
      <c r="R283" s="6">
        <v>23</v>
      </c>
      <c r="S283" s="10" t="s">
        <v>804</v>
      </c>
      <c r="T283" s="6"/>
      <c r="U283" s="8">
        <v>6</v>
      </c>
      <c r="V283" s="8">
        <v>4</v>
      </c>
      <c r="W283" s="8">
        <v>4</v>
      </c>
      <c r="X283" s="8">
        <v>2</v>
      </c>
      <c r="Y283" s="11">
        <f t="shared" si="44"/>
        <v>2</v>
      </c>
      <c r="Z283" s="8">
        <v>4</v>
      </c>
      <c r="AA283" s="8">
        <v>126</v>
      </c>
      <c r="AB283" s="11">
        <f t="shared" si="45"/>
        <v>31.5</v>
      </c>
      <c r="AD283" s="6"/>
      <c r="AE283" s="8" t="s">
        <v>1098</v>
      </c>
    </row>
    <row r="284" spans="1:31" x14ac:dyDescent="0.25">
      <c r="A284" s="6" t="s">
        <v>227</v>
      </c>
      <c r="B284" s="6">
        <v>22</v>
      </c>
      <c r="C284" s="6">
        <v>65</v>
      </c>
      <c r="D284" s="6">
        <v>17</v>
      </c>
      <c r="E284" s="6">
        <v>5</v>
      </c>
      <c r="F284" s="7">
        <f t="shared" si="46"/>
        <v>5.416666666666667</v>
      </c>
      <c r="G284" s="6">
        <v>46</v>
      </c>
      <c r="H284" s="6">
        <v>912</v>
      </c>
      <c r="I284" s="7">
        <f t="shared" si="47"/>
        <v>19.826086956521738</v>
      </c>
      <c r="J284" s="6"/>
      <c r="K284" s="6"/>
      <c r="L284" s="6"/>
      <c r="M284" s="6"/>
      <c r="N284" s="6"/>
      <c r="O284" s="6"/>
      <c r="P284" s="7"/>
      <c r="Q284" s="6"/>
      <c r="R284" s="6"/>
      <c r="S284" s="7"/>
      <c r="T284" s="6"/>
      <c r="Y284" s="12"/>
      <c r="AA284" s="6"/>
      <c r="AB284" s="11"/>
    </row>
    <row r="285" spans="1:31" x14ac:dyDescent="0.25">
      <c r="A285" s="6" t="s">
        <v>228</v>
      </c>
      <c r="B285" s="6">
        <v>65</v>
      </c>
      <c r="C285" s="6">
        <v>632</v>
      </c>
      <c r="D285" s="6">
        <v>74</v>
      </c>
      <c r="E285" s="6">
        <v>10</v>
      </c>
      <c r="F285" s="7">
        <f t="shared" si="46"/>
        <v>9.875</v>
      </c>
      <c r="G285" s="6">
        <v>65</v>
      </c>
      <c r="H285" s="6">
        <v>879</v>
      </c>
      <c r="I285" s="7">
        <f t="shared" si="47"/>
        <v>13.523076923076923</v>
      </c>
      <c r="J285" s="6"/>
      <c r="K285" s="6"/>
      <c r="L285" s="6"/>
      <c r="M285" s="6"/>
      <c r="N285" s="6"/>
      <c r="O285" s="6"/>
      <c r="P285" s="7"/>
      <c r="Q285" s="6"/>
      <c r="R285" s="6"/>
      <c r="S285" s="7"/>
      <c r="T285" s="6"/>
      <c r="Y285" s="12"/>
      <c r="AA285" s="6"/>
      <c r="AB285" s="11"/>
    </row>
    <row r="286" spans="1:31" x14ac:dyDescent="0.25">
      <c r="A286" s="6" t="s">
        <v>229</v>
      </c>
      <c r="B286" s="6">
        <v>180</v>
      </c>
      <c r="C286" s="6">
        <v>5199</v>
      </c>
      <c r="D286" s="6">
        <v>175</v>
      </c>
      <c r="E286" s="6">
        <v>26</v>
      </c>
      <c r="F286" s="7">
        <f t="shared" si="46"/>
        <v>34.892617449664428</v>
      </c>
      <c r="G286" s="6">
        <v>333</v>
      </c>
      <c r="H286" s="6">
        <v>4561</v>
      </c>
      <c r="I286" s="7">
        <f t="shared" si="47"/>
        <v>13.696696696696696</v>
      </c>
      <c r="J286" s="6"/>
      <c r="K286" s="6"/>
      <c r="L286" s="6">
        <v>1</v>
      </c>
      <c r="M286" s="6">
        <v>30</v>
      </c>
      <c r="N286" s="6">
        <v>1</v>
      </c>
      <c r="O286" s="6"/>
      <c r="P286" s="7">
        <f t="shared" si="34"/>
        <v>30</v>
      </c>
      <c r="Q286" s="6">
        <v>3</v>
      </c>
      <c r="R286" s="6">
        <v>52</v>
      </c>
      <c r="S286" s="7">
        <f t="shared" si="43"/>
        <v>17.333333333333332</v>
      </c>
      <c r="T286" s="6"/>
      <c r="Y286" s="12"/>
      <c r="AB286" s="11"/>
      <c r="AD286" s="6"/>
      <c r="AE286" s="8" t="s">
        <v>230</v>
      </c>
    </row>
    <row r="287" spans="1:31" x14ac:dyDescent="0.25">
      <c r="A287" s="6" t="s">
        <v>231</v>
      </c>
      <c r="B287" s="6">
        <v>133</v>
      </c>
      <c r="C287" s="6">
        <v>3987</v>
      </c>
      <c r="D287" s="6">
        <v>137</v>
      </c>
      <c r="E287" s="6">
        <v>9</v>
      </c>
      <c r="F287" s="7">
        <f t="shared" si="46"/>
        <v>31.1484375</v>
      </c>
      <c r="G287" s="6">
        <v>6</v>
      </c>
      <c r="H287" s="6">
        <v>229</v>
      </c>
      <c r="I287" s="7">
        <f t="shared" si="47"/>
        <v>38.166666666666664</v>
      </c>
      <c r="J287" s="6"/>
      <c r="K287" s="6"/>
      <c r="L287" s="6"/>
      <c r="M287" s="6"/>
      <c r="N287" s="6"/>
      <c r="O287" s="6"/>
      <c r="P287" s="7"/>
      <c r="Q287" s="6"/>
      <c r="R287" s="6"/>
      <c r="S287" s="7"/>
      <c r="T287" s="6"/>
      <c r="Y287" s="12"/>
      <c r="AA287" s="6"/>
      <c r="AB287" s="11"/>
    </row>
    <row r="288" spans="1:31" x14ac:dyDescent="0.25">
      <c r="A288" s="6" t="s">
        <v>232</v>
      </c>
      <c r="B288" s="6">
        <v>3</v>
      </c>
      <c r="C288" s="6">
        <v>23</v>
      </c>
      <c r="D288" s="6">
        <v>4</v>
      </c>
      <c r="E288" s="6">
        <v>1</v>
      </c>
      <c r="F288" s="7">
        <f t="shared" si="46"/>
        <v>7.666666666666667</v>
      </c>
      <c r="G288" s="6">
        <v>6</v>
      </c>
      <c r="H288" s="6">
        <v>83</v>
      </c>
      <c r="I288" s="7">
        <f t="shared" si="47"/>
        <v>13.833333333333334</v>
      </c>
      <c r="J288" s="6"/>
      <c r="K288" s="6"/>
      <c r="L288" s="6"/>
      <c r="M288" s="6"/>
      <c r="N288" s="6"/>
      <c r="O288" s="6"/>
      <c r="P288" s="7"/>
      <c r="Q288" s="6"/>
      <c r="R288" s="6"/>
      <c r="S288" s="7"/>
      <c r="T288" s="6"/>
      <c r="Y288" s="12"/>
      <c r="AA288" s="6"/>
      <c r="AB288" s="11"/>
    </row>
    <row r="289" spans="1:31" x14ac:dyDescent="0.25">
      <c r="A289" s="6" t="s">
        <v>234</v>
      </c>
      <c r="B289" s="6">
        <v>12</v>
      </c>
      <c r="C289" s="6">
        <v>73</v>
      </c>
      <c r="D289" s="6">
        <v>12</v>
      </c>
      <c r="E289" s="6">
        <v>2</v>
      </c>
      <c r="F289" s="7">
        <f t="shared" si="46"/>
        <v>7.3</v>
      </c>
      <c r="G289" s="6">
        <v>1</v>
      </c>
      <c r="H289" s="6">
        <v>1</v>
      </c>
      <c r="I289" s="7">
        <f t="shared" si="47"/>
        <v>1</v>
      </c>
      <c r="J289" s="6"/>
      <c r="K289" s="6"/>
      <c r="L289" s="6"/>
      <c r="M289" s="6"/>
      <c r="N289" s="6"/>
      <c r="O289" s="6"/>
      <c r="P289" s="7"/>
      <c r="Q289" s="6"/>
      <c r="R289" s="6"/>
      <c r="S289" s="7"/>
      <c r="T289" s="6"/>
      <c r="Y289" s="12"/>
      <c r="AA289" s="6"/>
      <c r="AB289" s="11"/>
    </row>
    <row r="290" spans="1:31" x14ac:dyDescent="0.25">
      <c r="A290" s="6" t="s">
        <v>233</v>
      </c>
      <c r="B290" s="6">
        <v>127</v>
      </c>
      <c r="C290" s="6">
        <v>1266</v>
      </c>
      <c r="D290" s="6">
        <v>104</v>
      </c>
      <c r="E290" s="6">
        <v>25</v>
      </c>
      <c r="F290" s="7">
        <f t="shared" si="46"/>
        <v>16.025316455696203</v>
      </c>
      <c r="G290" s="6">
        <v>116</v>
      </c>
      <c r="H290" s="6">
        <v>1824</v>
      </c>
      <c r="I290" s="7">
        <f t="shared" si="47"/>
        <v>15.724137931034482</v>
      </c>
      <c r="J290" s="6"/>
      <c r="K290" s="6"/>
      <c r="L290" s="6"/>
      <c r="M290" s="6"/>
      <c r="N290" s="6"/>
      <c r="O290" s="6"/>
      <c r="P290" s="7"/>
      <c r="Q290" s="6"/>
      <c r="R290" s="6"/>
      <c r="S290" s="7"/>
      <c r="T290" s="6"/>
      <c r="Y290" s="12"/>
      <c r="AA290" s="6"/>
      <c r="AB290" s="11"/>
    </row>
    <row r="291" spans="1:31" x14ac:dyDescent="0.25">
      <c r="A291" s="6" t="s">
        <v>921</v>
      </c>
      <c r="B291" s="6">
        <v>16</v>
      </c>
      <c r="C291" s="6">
        <v>20</v>
      </c>
      <c r="D291" s="6">
        <v>12</v>
      </c>
      <c r="E291" s="6">
        <v>2</v>
      </c>
      <c r="F291" s="7">
        <f t="shared" si="46"/>
        <v>2</v>
      </c>
      <c r="G291" s="6">
        <v>10</v>
      </c>
      <c r="H291" s="6">
        <v>278</v>
      </c>
      <c r="I291" s="7">
        <f t="shared" si="47"/>
        <v>27.8</v>
      </c>
      <c r="J291" s="6"/>
      <c r="K291" s="6"/>
      <c r="L291" s="6"/>
      <c r="M291" s="6"/>
      <c r="N291" s="6"/>
      <c r="O291" s="6"/>
      <c r="P291" s="7"/>
      <c r="Q291" s="6"/>
      <c r="R291" s="6"/>
      <c r="S291" s="7"/>
      <c r="T291" s="6"/>
      <c r="U291" s="8"/>
      <c r="V291" s="8"/>
      <c r="W291" s="8"/>
      <c r="X291" s="8"/>
      <c r="Y291" s="8"/>
      <c r="Z291" s="8"/>
      <c r="AA291" s="8"/>
      <c r="AB291" s="11"/>
    </row>
    <row r="292" spans="1:31" x14ac:dyDescent="0.25">
      <c r="A292" s="6" t="s">
        <v>1059</v>
      </c>
      <c r="B292" s="6">
        <v>16</v>
      </c>
      <c r="C292" s="6">
        <v>26</v>
      </c>
      <c r="D292" s="6">
        <v>8</v>
      </c>
      <c r="E292" s="6">
        <v>3</v>
      </c>
      <c r="F292" s="7">
        <f t="shared" si="46"/>
        <v>5.2</v>
      </c>
      <c r="G292" s="6">
        <v>18</v>
      </c>
      <c r="H292" s="6">
        <v>600</v>
      </c>
      <c r="I292" s="7">
        <f t="shared" si="47"/>
        <v>33.333333333333336</v>
      </c>
      <c r="J292" s="6"/>
      <c r="K292" s="6"/>
      <c r="L292" s="6">
        <v>0.5</v>
      </c>
      <c r="M292" s="6"/>
      <c r="N292" s="6"/>
      <c r="O292" s="6"/>
      <c r="P292" s="7"/>
      <c r="Q292" s="6"/>
      <c r="R292" s="6"/>
      <c r="S292" s="7"/>
      <c r="T292" s="6"/>
      <c r="U292" s="8">
        <v>2</v>
      </c>
      <c r="V292" s="8">
        <v>3</v>
      </c>
      <c r="W292" s="8">
        <v>1</v>
      </c>
      <c r="X292" s="8">
        <v>1</v>
      </c>
      <c r="Y292" s="8"/>
      <c r="Z292" s="8">
        <v>2</v>
      </c>
      <c r="AA292" s="8">
        <v>26</v>
      </c>
      <c r="AB292" s="11"/>
      <c r="AE292" s="8" t="s">
        <v>1134</v>
      </c>
    </row>
    <row r="293" spans="1:31" x14ac:dyDescent="0.25">
      <c r="A293" s="6" t="s">
        <v>1135</v>
      </c>
      <c r="B293" s="6">
        <v>1</v>
      </c>
      <c r="C293" s="6">
        <v>6</v>
      </c>
      <c r="D293" s="6">
        <v>1</v>
      </c>
      <c r="E293" s="6"/>
      <c r="F293" s="7">
        <f t="shared" si="46"/>
        <v>6</v>
      </c>
      <c r="G293" s="6"/>
      <c r="H293" s="6">
        <v>7</v>
      </c>
      <c r="I293" s="7"/>
      <c r="J293" s="6"/>
      <c r="K293" s="6"/>
      <c r="L293" s="6"/>
      <c r="M293" s="6"/>
      <c r="N293" s="6"/>
      <c r="O293" s="6"/>
      <c r="P293" s="7"/>
      <c r="Q293" s="6"/>
      <c r="R293" s="6"/>
      <c r="S293" s="7"/>
      <c r="T293" s="6"/>
      <c r="U293" s="8"/>
      <c r="V293" s="8"/>
      <c r="W293" s="8"/>
      <c r="X293" s="8"/>
      <c r="Y293" s="8"/>
      <c r="Z293" s="8"/>
      <c r="AA293" s="8"/>
      <c r="AB293" s="11"/>
      <c r="AE293" s="8" t="s">
        <v>1028</v>
      </c>
    </row>
    <row r="294" spans="1:31" x14ac:dyDescent="0.25">
      <c r="A294" s="6" t="s">
        <v>745</v>
      </c>
      <c r="B294" s="11">
        <v>76.5</v>
      </c>
      <c r="C294" s="6">
        <v>1347</v>
      </c>
      <c r="D294" s="6">
        <v>43</v>
      </c>
      <c r="E294" s="6">
        <v>6</v>
      </c>
      <c r="F294" s="7">
        <v>15</v>
      </c>
      <c r="G294" s="6">
        <v>15</v>
      </c>
      <c r="H294" s="6">
        <v>438</v>
      </c>
      <c r="I294" s="7">
        <f t="shared" si="47"/>
        <v>29.2</v>
      </c>
      <c r="J294" s="6"/>
      <c r="K294" s="6"/>
      <c r="L294" s="6">
        <v>5</v>
      </c>
      <c r="M294" s="6">
        <v>7</v>
      </c>
      <c r="N294" s="6">
        <v>3</v>
      </c>
      <c r="O294" s="6"/>
      <c r="P294" s="7">
        <f t="shared" ref="P294:P379" si="48">(M294/(N294-O294))</f>
        <v>2.3333333333333335</v>
      </c>
      <c r="Q294" s="6"/>
      <c r="R294" s="6">
        <v>6</v>
      </c>
      <c r="S294" s="10" t="s">
        <v>804</v>
      </c>
      <c r="T294" s="6"/>
      <c r="U294" s="13">
        <v>8</v>
      </c>
      <c r="V294" s="13">
        <v>3</v>
      </c>
      <c r="W294" s="13">
        <v>2</v>
      </c>
      <c r="X294" s="13">
        <v>1</v>
      </c>
      <c r="Y294" s="13"/>
      <c r="Z294" s="13">
        <v>2</v>
      </c>
      <c r="AA294" s="13">
        <v>48</v>
      </c>
      <c r="AB294" s="11">
        <f t="shared" si="45"/>
        <v>24</v>
      </c>
      <c r="AD294" s="6"/>
      <c r="AE294" s="8" t="s">
        <v>1136</v>
      </c>
    </row>
    <row r="295" spans="1:31" x14ac:dyDescent="0.25">
      <c r="A295" s="6" t="s">
        <v>816</v>
      </c>
      <c r="B295" s="6">
        <v>1</v>
      </c>
      <c r="C295" s="6"/>
      <c r="D295" s="6">
        <v>1</v>
      </c>
      <c r="E295" s="6">
        <v>1</v>
      </c>
      <c r="F295" s="10" t="s">
        <v>804</v>
      </c>
      <c r="G295" s="6"/>
      <c r="H295" s="6">
        <v>11</v>
      </c>
      <c r="I295" s="10" t="s">
        <v>804</v>
      </c>
      <c r="J295" s="6"/>
      <c r="K295" s="6"/>
      <c r="L295" s="6">
        <v>1</v>
      </c>
      <c r="M295" s="6"/>
      <c r="N295" s="6">
        <v>1</v>
      </c>
      <c r="O295" s="6">
        <v>1</v>
      </c>
      <c r="P295" s="10" t="s">
        <v>804</v>
      </c>
      <c r="Q295" s="6"/>
      <c r="R295" s="6">
        <v>11</v>
      </c>
      <c r="S295" s="10" t="s">
        <v>804</v>
      </c>
      <c r="T295" s="6"/>
      <c r="Y295" s="12"/>
      <c r="AA295" s="6"/>
      <c r="AB295" s="11"/>
      <c r="AE295" s="8" t="s">
        <v>23</v>
      </c>
    </row>
    <row r="296" spans="1:31" x14ac:dyDescent="0.25">
      <c r="A296" s="6" t="s">
        <v>235</v>
      </c>
      <c r="B296" s="6">
        <v>60</v>
      </c>
      <c r="C296" s="6">
        <v>218</v>
      </c>
      <c r="D296" s="6">
        <v>41</v>
      </c>
      <c r="E296" s="6">
        <v>16</v>
      </c>
      <c r="F296" s="7">
        <f t="shared" si="46"/>
        <v>8.7200000000000006</v>
      </c>
      <c r="G296" s="6">
        <v>68</v>
      </c>
      <c r="H296" s="6">
        <v>1629</v>
      </c>
      <c r="I296" s="7">
        <f t="shared" si="47"/>
        <v>23.955882352941178</v>
      </c>
      <c r="J296" s="6"/>
      <c r="K296" s="6"/>
      <c r="L296" s="6"/>
      <c r="M296" s="6"/>
      <c r="N296" s="6"/>
      <c r="O296" s="6"/>
      <c r="P296" s="7"/>
      <c r="Q296" s="6"/>
      <c r="R296" s="6"/>
      <c r="S296" s="7"/>
      <c r="T296" s="6"/>
      <c r="Y296" s="12"/>
      <c r="AA296" s="6"/>
      <c r="AB296" s="11"/>
    </row>
    <row r="297" spans="1:31" x14ac:dyDescent="0.25">
      <c r="A297" s="6" t="s">
        <v>236</v>
      </c>
      <c r="B297" s="11">
        <v>151.5</v>
      </c>
      <c r="C297" s="6">
        <v>3228</v>
      </c>
      <c r="D297" s="6">
        <v>163</v>
      </c>
      <c r="E297" s="6">
        <v>20</v>
      </c>
      <c r="F297" s="7">
        <f t="shared" si="46"/>
        <v>22.573426573426573</v>
      </c>
      <c r="G297" s="6">
        <v>17</v>
      </c>
      <c r="H297" s="6">
        <v>363</v>
      </c>
      <c r="I297" s="7">
        <f t="shared" si="47"/>
        <v>21.352941176470587</v>
      </c>
      <c r="J297" s="6"/>
      <c r="K297" s="6"/>
      <c r="L297" s="6">
        <v>16</v>
      </c>
      <c r="M297" s="6">
        <v>404</v>
      </c>
      <c r="N297" s="6">
        <v>14</v>
      </c>
      <c r="O297" s="6">
        <v>5</v>
      </c>
      <c r="P297" s="7">
        <f t="shared" si="48"/>
        <v>44.888888888888886</v>
      </c>
      <c r="Q297" s="6"/>
      <c r="R297" s="6">
        <v>13</v>
      </c>
      <c r="S297" s="7"/>
      <c r="T297" s="6"/>
      <c r="Y297" s="12"/>
      <c r="AB297" s="11"/>
      <c r="AD297" s="6"/>
      <c r="AE297" s="8" t="s">
        <v>746</v>
      </c>
    </row>
    <row r="298" spans="1:31" x14ac:dyDescent="0.25">
      <c r="A298" s="6" t="s">
        <v>237</v>
      </c>
      <c r="B298" s="6">
        <v>4</v>
      </c>
      <c r="C298" s="6">
        <v>5</v>
      </c>
      <c r="D298" s="6">
        <v>3</v>
      </c>
      <c r="E298" s="6"/>
      <c r="F298" s="7">
        <f t="shared" si="46"/>
        <v>1.6666666666666667</v>
      </c>
      <c r="G298" s="6">
        <v>5</v>
      </c>
      <c r="H298" s="6">
        <v>122</v>
      </c>
      <c r="I298" s="7">
        <f t="shared" si="47"/>
        <v>24.4</v>
      </c>
      <c r="J298" s="6"/>
      <c r="K298" s="6"/>
      <c r="L298" s="6"/>
      <c r="M298" s="6"/>
      <c r="N298" s="6"/>
      <c r="O298" s="6"/>
      <c r="P298" s="7"/>
      <c r="Q298" s="6"/>
      <c r="R298" s="6"/>
      <c r="S298" s="7"/>
      <c r="T298" s="6"/>
      <c r="Y298" s="12"/>
      <c r="AA298" s="6"/>
      <c r="AB298" s="11"/>
    </row>
    <row r="299" spans="1:31" x14ac:dyDescent="0.25">
      <c r="A299" s="6" t="s">
        <v>968</v>
      </c>
      <c r="B299" s="6">
        <v>32.5</v>
      </c>
      <c r="C299" s="6">
        <v>997</v>
      </c>
      <c r="D299" s="6">
        <v>39</v>
      </c>
      <c r="E299" s="6">
        <v>2</v>
      </c>
      <c r="F299" s="7">
        <f t="shared" si="46"/>
        <v>26.945945945945947</v>
      </c>
      <c r="G299" s="6">
        <v>15</v>
      </c>
      <c r="H299" s="6">
        <v>308</v>
      </c>
      <c r="I299" s="7">
        <f t="shared" si="47"/>
        <v>20.533333333333335</v>
      </c>
      <c r="J299" s="6"/>
      <c r="K299" s="6"/>
      <c r="L299" s="6"/>
      <c r="M299" s="6"/>
      <c r="N299" s="6"/>
      <c r="O299" s="6"/>
      <c r="P299" s="7"/>
      <c r="Q299" s="6"/>
      <c r="R299" s="6"/>
      <c r="S299" s="7"/>
      <c r="T299" s="6"/>
      <c r="U299" s="13">
        <v>17</v>
      </c>
      <c r="V299" s="13">
        <v>357</v>
      </c>
      <c r="W299" s="13">
        <v>16</v>
      </c>
      <c r="X299" s="13"/>
      <c r="Y299" s="11">
        <f t="shared" ref="Y299" si="49">(V299)/(W299-X299)</f>
        <v>22.3125</v>
      </c>
      <c r="Z299" s="13">
        <v>5</v>
      </c>
      <c r="AA299" s="13">
        <v>102</v>
      </c>
      <c r="AB299" s="11">
        <f t="shared" si="45"/>
        <v>20.399999999999999</v>
      </c>
      <c r="AC299" s="8"/>
      <c r="AE299" s="8" t="s">
        <v>1099</v>
      </c>
    </row>
    <row r="300" spans="1:31" x14ac:dyDescent="0.25">
      <c r="A300" s="6" t="s">
        <v>938</v>
      </c>
      <c r="B300" s="6">
        <v>0.5</v>
      </c>
      <c r="C300" s="6">
        <v>5</v>
      </c>
      <c r="D300" s="6">
        <v>1</v>
      </c>
      <c r="E300" s="6"/>
      <c r="F300" s="7">
        <f t="shared" si="46"/>
        <v>5</v>
      </c>
      <c r="G300" s="6">
        <v>1</v>
      </c>
      <c r="H300" s="6">
        <v>27</v>
      </c>
      <c r="I300" s="7">
        <f t="shared" si="47"/>
        <v>27</v>
      </c>
      <c r="J300" s="6"/>
      <c r="K300" s="6"/>
      <c r="L300" s="6"/>
      <c r="M300" s="6"/>
      <c r="N300" s="6"/>
      <c r="O300" s="6"/>
      <c r="P300" s="7"/>
      <c r="Q300" s="6"/>
      <c r="R300" s="6"/>
      <c r="S300" s="7"/>
      <c r="T300" s="6"/>
      <c r="Y300" s="11"/>
      <c r="AA300" s="6"/>
      <c r="AB300" s="11"/>
      <c r="AE300" s="8" t="s">
        <v>939</v>
      </c>
    </row>
    <row r="301" spans="1:31" x14ac:dyDescent="0.25">
      <c r="A301" s="6" t="s">
        <v>238</v>
      </c>
      <c r="B301" s="6">
        <v>15</v>
      </c>
      <c r="C301" s="6">
        <v>43</v>
      </c>
      <c r="D301" s="6">
        <v>12</v>
      </c>
      <c r="E301" s="6">
        <v>2</v>
      </c>
      <c r="F301" s="7">
        <f t="shared" si="46"/>
        <v>4.3</v>
      </c>
      <c r="G301" s="6">
        <v>42</v>
      </c>
      <c r="H301" s="6">
        <v>646</v>
      </c>
      <c r="I301" s="7">
        <f t="shared" si="47"/>
        <v>15.380952380952381</v>
      </c>
      <c r="J301" s="6"/>
      <c r="K301" s="6"/>
      <c r="L301" s="6"/>
      <c r="M301" s="6"/>
      <c r="N301" s="6"/>
      <c r="O301" s="6"/>
      <c r="P301" s="7"/>
      <c r="Q301" s="6"/>
      <c r="R301" s="6"/>
      <c r="S301" s="7"/>
      <c r="T301" s="6"/>
      <c r="Y301" s="11"/>
      <c r="AA301" s="6"/>
      <c r="AB301" s="11"/>
    </row>
    <row r="302" spans="1:31" x14ac:dyDescent="0.25">
      <c r="A302" s="6" t="s">
        <v>239</v>
      </c>
      <c r="B302" s="6">
        <v>203</v>
      </c>
      <c r="C302" s="6">
        <v>2321</v>
      </c>
      <c r="D302" s="6">
        <v>160</v>
      </c>
      <c r="E302" s="6">
        <v>70</v>
      </c>
      <c r="F302" s="7">
        <f t="shared" si="46"/>
        <v>25.788888888888888</v>
      </c>
      <c r="G302" s="6">
        <v>293</v>
      </c>
      <c r="H302" s="6">
        <v>5089</v>
      </c>
      <c r="I302" s="7">
        <f t="shared" si="47"/>
        <v>17.368600682593858</v>
      </c>
      <c r="J302" s="6"/>
      <c r="K302" s="6"/>
      <c r="L302" s="6">
        <v>31</v>
      </c>
      <c r="M302" s="6">
        <v>59</v>
      </c>
      <c r="N302" s="6">
        <v>14</v>
      </c>
      <c r="O302" s="6">
        <v>1</v>
      </c>
      <c r="P302" s="7">
        <f t="shared" si="48"/>
        <v>4.5384615384615383</v>
      </c>
      <c r="Q302" s="6">
        <v>28</v>
      </c>
      <c r="R302" s="6">
        <v>610</v>
      </c>
      <c r="S302" s="7">
        <f t="shared" si="43"/>
        <v>21.785714285714285</v>
      </c>
      <c r="T302" s="6"/>
      <c r="Y302" s="11"/>
      <c r="AB302" s="11"/>
      <c r="AD302" s="6"/>
      <c r="AE302" s="8" t="s">
        <v>786</v>
      </c>
    </row>
    <row r="303" spans="1:31" x14ac:dyDescent="0.25">
      <c r="A303" s="6" t="s">
        <v>240</v>
      </c>
      <c r="B303" s="6">
        <v>240</v>
      </c>
      <c r="C303" s="6">
        <v>7098</v>
      </c>
      <c r="D303" s="6">
        <v>261</v>
      </c>
      <c r="E303" s="6">
        <v>32</v>
      </c>
      <c r="F303" s="7">
        <f t="shared" si="46"/>
        <v>30.995633187772924</v>
      </c>
      <c r="G303" s="6">
        <v>147</v>
      </c>
      <c r="H303" s="6">
        <v>2827</v>
      </c>
      <c r="I303" s="7">
        <f t="shared" si="47"/>
        <v>19.231292517006803</v>
      </c>
      <c r="J303" s="6"/>
      <c r="K303" s="6"/>
      <c r="L303" s="6">
        <v>6</v>
      </c>
      <c r="M303" s="6">
        <v>125</v>
      </c>
      <c r="N303" s="6">
        <v>6</v>
      </c>
      <c r="O303" s="6">
        <v>1</v>
      </c>
      <c r="P303" s="7">
        <f t="shared" si="48"/>
        <v>25</v>
      </c>
      <c r="Q303" s="6">
        <v>5</v>
      </c>
      <c r="R303" s="6">
        <v>95</v>
      </c>
      <c r="S303" s="7">
        <f t="shared" si="43"/>
        <v>19</v>
      </c>
      <c r="T303" s="6"/>
      <c r="U303" s="6">
        <v>7</v>
      </c>
      <c r="V303" s="6">
        <v>153</v>
      </c>
      <c r="W303" s="6">
        <v>6</v>
      </c>
      <c r="X303" s="6"/>
      <c r="Y303" s="11">
        <f t="shared" ref="Y303:Y366" si="50">(V303)/(W303-X303)</f>
        <v>25.5</v>
      </c>
      <c r="Z303" s="6">
        <v>2</v>
      </c>
      <c r="AA303" s="6">
        <v>14</v>
      </c>
      <c r="AB303" s="11">
        <f t="shared" si="45"/>
        <v>7</v>
      </c>
      <c r="AD303" s="6"/>
      <c r="AE303" s="8" t="s">
        <v>1019</v>
      </c>
    </row>
    <row r="304" spans="1:31" x14ac:dyDescent="0.25">
      <c r="A304" s="6" t="s">
        <v>241</v>
      </c>
      <c r="B304" s="6">
        <v>7</v>
      </c>
      <c r="C304" s="6">
        <v>16</v>
      </c>
      <c r="D304" s="6">
        <v>7</v>
      </c>
      <c r="E304" s="6">
        <v>2</v>
      </c>
      <c r="F304" s="7">
        <f t="shared" si="46"/>
        <v>3.2</v>
      </c>
      <c r="G304" s="6">
        <v>1</v>
      </c>
      <c r="H304" s="6">
        <v>27</v>
      </c>
      <c r="I304" s="7">
        <f t="shared" si="47"/>
        <v>27</v>
      </c>
      <c r="J304" s="6"/>
      <c r="K304" s="6"/>
      <c r="L304" s="6"/>
      <c r="M304" s="6"/>
      <c r="N304" s="6"/>
      <c r="O304" s="6"/>
      <c r="P304" s="7"/>
      <c r="Q304" s="6"/>
      <c r="R304" s="6"/>
      <c r="S304" s="7"/>
      <c r="T304" s="6"/>
      <c r="Y304" s="11"/>
      <c r="AA304" s="6"/>
      <c r="AB304" s="11"/>
    </row>
    <row r="305" spans="1:31" x14ac:dyDescent="0.25">
      <c r="A305" s="6" t="s">
        <v>642</v>
      </c>
      <c r="B305" s="6">
        <v>18</v>
      </c>
      <c r="C305" s="6">
        <v>578</v>
      </c>
      <c r="D305" s="6">
        <v>22</v>
      </c>
      <c r="E305" s="6">
        <v>5</v>
      </c>
      <c r="F305" s="7">
        <f t="shared" si="46"/>
        <v>34</v>
      </c>
      <c r="G305" s="6"/>
      <c r="H305" s="6"/>
      <c r="I305" s="7"/>
      <c r="J305" s="6"/>
      <c r="K305" s="6"/>
      <c r="L305" s="6">
        <v>9</v>
      </c>
      <c r="M305" s="6">
        <v>290</v>
      </c>
      <c r="N305" s="6">
        <v>9</v>
      </c>
      <c r="O305" s="6">
        <v>4</v>
      </c>
      <c r="P305" s="7">
        <f t="shared" si="48"/>
        <v>58</v>
      </c>
      <c r="Q305" s="6"/>
      <c r="R305" s="6"/>
      <c r="S305" s="7"/>
      <c r="T305" s="6"/>
      <c r="Y305" s="11"/>
      <c r="AB305" s="11"/>
      <c r="AD305" s="6"/>
      <c r="AE305" s="8" t="s">
        <v>747</v>
      </c>
    </row>
    <row r="306" spans="1:31" x14ac:dyDescent="0.25">
      <c r="A306" s="6" t="s">
        <v>694</v>
      </c>
      <c r="B306" s="6">
        <v>2</v>
      </c>
      <c r="C306" s="6">
        <v>32</v>
      </c>
      <c r="D306" s="6">
        <v>2</v>
      </c>
      <c r="E306" s="6">
        <v>1</v>
      </c>
      <c r="F306" s="7">
        <f t="shared" si="46"/>
        <v>32</v>
      </c>
      <c r="G306" s="6"/>
      <c r="H306" s="6"/>
      <c r="I306" s="7"/>
      <c r="J306" s="6"/>
      <c r="K306" s="6"/>
      <c r="L306" s="6">
        <v>1</v>
      </c>
      <c r="M306" s="6">
        <v>25</v>
      </c>
      <c r="N306" s="6">
        <v>1</v>
      </c>
      <c r="O306" s="6">
        <v>1</v>
      </c>
      <c r="P306" s="7"/>
      <c r="Q306" s="6"/>
      <c r="R306" s="6"/>
      <c r="S306" s="7"/>
      <c r="T306" s="6"/>
      <c r="Y306" s="11"/>
      <c r="AB306" s="11"/>
      <c r="AD306" s="6"/>
      <c r="AE306" s="8" t="s">
        <v>695</v>
      </c>
    </row>
    <row r="307" spans="1:31" x14ac:dyDescent="0.25">
      <c r="A307" s="6" t="s">
        <v>880</v>
      </c>
      <c r="B307" s="6">
        <v>7</v>
      </c>
      <c r="C307" s="6">
        <v>30</v>
      </c>
      <c r="D307" s="6">
        <v>7</v>
      </c>
      <c r="E307" s="6">
        <v>4</v>
      </c>
      <c r="F307" s="7">
        <f t="shared" si="46"/>
        <v>10</v>
      </c>
      <c r="G307" s="6">
        <v>3</v>
      </c>
      <c r="H307" s="6">
        <v>19</v>
      </c>
      <c r="I307" s="7">
        <f t="shared" si="47"/>
        <v>6.333333333333333</v>
      </c>
      <c r="J307" s="6"/>
      <c r="K307" s="6"/>
      <c r="L307" s="6"/>
      <c r="M307" s="6"/>
      <c r="N307" s="6"/>
      <c r="O307" s="6"/>
      <c r="P307" s="7"/>
      <c r="Q307" s="6"/>
      <c r="R307" s="6"/>
      <c r="S307" s="7"/>
      <c r="T307" s="6"/>
      <c r="Y307" s="11"/>
      <c r="AB307" s="11"/>
      <c r="AD307" s="6"/>
      <c r="AE307" s="8"/>
    </row>
    <row r="308" spans="1:31" x14ac:dyDescent="0.25">
      <c r="A308" s="6" t="s">
        <v>881</v>
      </c>
      <c r="B308" s="6">
        <v>1</v>
      </c>
      <c r="C308" s="6"/>
      <c r="D308" s="6"/>
      <c r="E308" s="6"/>
      <c r="F308" s="7"/>
      <c r="G308" s="6"/>
      <c r="H308" s="6">
        <v>23</v>
      </c>
      <c r="I308" s="7"/>
      <c r="J308" s="6"/>
      <c r="K308" s="6"/>
      <c r="L308" s="6"/>
      <c r="M308" s="6"/>
      <c r="N308" s="6"/>
      <c r="O308" s="6"/>
      <c r="P308" s="7"/>
      <c r="Q308" s="6"/>
      <c r="R308" s="6"/>
      <c r="S308" s="7"/>
      <c r="T308" s="6"/>
      <c r="Y308" s="11"/>
      <c r="AB308" s="11"/>
      <c r="AD308" s="6"/>
      <c r="AE308" s="8" t="s">
        <v>1021</v>
      </c>
    </row>
    <row r="309" spans="1:31" x14ac:dyDescent="0.25">
      <c r="A309" s="6" t="s">
        <v>1020</v>
      </c>
      <c r="B309" s="6">
        <v>5</v>
      </c>
      <c r="C309" s="6">
        <v>65</v>
      </c>
      <c r="D309" s="6">
        <v>4</v>
      </c>
      <c r="E309" s="6"/>
      <c r="F309" s="7">
        <f t="shared" si="46"/>
        <v>16.25</v>
      </c>
      <c r="G309" s="6">
        <v>1</v>
      </c>
      <c r="H309" s="6">
        <v>29</v>
      </c>
      <c r="I309" s="7">
        <f t="shared" si="47"/>
        <v>29</v>
      </c>
      <c r="J309" s="6"/>
      <c r="K309" s="6"/>
      <c r="L309" s="6"/>
      <c r="M309" s="6"/>
      <c r="N309" s="6"/>
      <c r="O309" s="6"/>
      <c r="P309" s="7"/>
      <c r="Q309" s="6"/>
      <c r="R309" s="6"/>
      <c r="S309" s="7"/>
      <c r="T309" s="6"/>
      <c r="Y309" s="11"/>
      <c r="AB309" s="11"/>
      <c r="AD309" s="6"/>
      <c r="AE309" s="8"/>
    </row>
    <row r="310" spans="1:31" x14ac:dyDescent="0.25">
      <c r="A310" s="6" t="s">
        <v>826</v>
      </c>
      <c r="B310" s="6">
        <v>3</v>
      </c>
      <c r="C310" s="6">
        <v>32</v>
      </c>
      <c r="D310" s="6">
        <v>2</v>
      </c>
      <c r="E310" s="6"/>
      <c r="F310" s="7">
        <f t="shared" si="46"/>
        <v>16</v>
      </c>
      <c r="G310" s="6">
        <v>5</v>
      </c>
      <c r="H310" s="6">
        <v>81</v>
      </c>
      <c r="I310" s="7">
        <f t="shared" si="47"/>
        <v>16.2</v>
      </c>
      <c r="J310" s="6"/>
      <c r="K310" s="6"/>
      <c r="L310" s="6"/>
      <c r="M310" s="6"/>
      <c r="N310" s="6"/>
      <c r="O310" s="6"/>
      <c r="P310" s="7"/>
      <c r="Q310" s="6"/>
      <c r="R310" s="6"/>
      <c r="S310" s="7"/>
      <c r="T310" s="6"/>
      <c r="Y310" s="11"/>
      <c r="AA310" s="6"/>
      <c r="AB310" s="11"/>
    </row>
    <row r="311" spans="1:31" x14ac:dyDescent="0.25">
      <c r="A311" s="6" t="s">
        <v>1022</v>
      </c>
      <c r="B311" s="6">
        <v>2</v>
      </c>
      <c r="C311" s="6"/>
      <c r="D311" s="6">
        <v>2</v>
      </c>
      <c r="E311" s="6"/>
      <c r="F311" s="7"/>
      <c r="G311" s="6"/>
      <c r="H311" s="6"/>
      <c r="I311" s="7"/>
      <c r="J311" s="6"/>
      <c r="K311" s="6"/>
      <c r="L311" s="6"/>
      <c r="M311" s="6"/>
      <c r="N311" s="6"/>
      <c r="O311" s="6"/>
      <c r="P311" s="7"/>
      <c r="Q311" s="6"/>
      <c r="R311" s="6"/>
      <c r="S311" s="7"/>
      <c r="T311" s="6"/>
      <c r="Y311" s="11"/>
      <c r="AA311" s="6"/>
      <c r="AB311" s="11"/>
    </row>
    <row r="312" spans="1:31" x14ac:dyDescent="0.25">
      <c r="A312" s="6" t="s">
        <v>242</v>
      </c>
      <c r="B312" s="6">
        <v>25</v>
      </c>
      <c r="C312" s="6">
        <v>198</v>
      </c>
      <c r="D312" s="6">
        <v>24</v>
      </c>
      <c r="E312" s="6">
        <v>5</v>
      </c>
      <c r="F312" s="7">
        <f t="shared" si="46"/>
        <v>10.421052631578947</v>
      </c>
      <c r="G312" s="6">
        <v>19</v>
      </c>
      <c r="H312" s="6">
        <v>300</v>
      </c>
      <c r="I312" s="7">
        <f t="shared" si="47"/>
        <v>15.789473684210526</v>
      </c>
      <c r="J312" s="6"/>
      <c r="K312" s="6"/>
      <c r="L312" s="6"/>
      <c r="M312" s="6"/>
      <c r="N312" s="6"/>
      <c r="O312" s="6"/>
      <c r="P312" s="7"/>
      <c r="Q312" s="6"/>
      <c r="R312" s="6"/>
      <c r="S312" s="7"/>
      <c r="T312" s="6"/>
      <c r="Y312" s="11"/>
      <c r="AA312" s="6"/>
      <c r="AB312" s="11"/>
    </row>
    <row r="313" spans="1:31" x14ac:dyDescent="0.25">
      <c r="A313" s="6" t="s">
        <v>660</v>
      </c>
      <c r="B313" s="6">
        <v>1</v>
      </c>
      <c r="C313" s="6">
        <v>11</v>
      </c>
      <c r="D313" s="6">
        <v>1</v>
      </c>
      <c r="E313" s="6"/>
      <c r="F313" s="7">
        <f t="shared" si="46"/>
        <v>11</v>
      </c>
      <c r="G313" s="6"/>
      <c r="H313" s="6"/>
      <c r="I313" s="7"/>
      <c r="J313" s="6"/>
      <c r="K313" s="6"/>
      <c r="L313" s="6"/>
      <c r="M313" s="6"/>
      <c r="N313" s="6"/>
      <c r="O313" s="6"/>
      <c r="P313" s="7"/>
      <c r="Q313" s="6"/>
      <c r="R313" s="6"/>
      <c r="S313" s="7"/>
      <c r="T313" s="6"/>
      <c r="Y313" s="11"/>
      <c r="AA313" s="6"/>
      <c r="AB313" s="11"/>
    </row>
    <row r="314" spans="1:31" x14ac:dyDescent="0.25">
      <c r="A314" s="6" t="s">
        <v>661</v>
      </c>
      <c r="B314" s="6">
        <v>52</v>
      </c>
      <c r="C314" s="6">
        <v>438</v>
      </c>
      <c r="D314" s="6">
        <v>52</v>
      </c>
      <c r="E314" s="6">
        <v>8</v>
      </c>
      <c r="F314" s="7">
        <f t="shared" si="46"/>
        <v>9.954545454545455</v>
      </c>
      <c r="G314" s="6">
        <v>27</v>
      </c>
      <c r="H314" s="6">
        <v>698</v>
      </c>
      <c r="I314" s="7">
        <f t="shared" si="47"/>
        <v>25.851851851851851</v>
      </c>
      <c r="J314" s="6"/>
      <c r="K314" s="6"/>
      <c r="L314" s="6">
        <v>2</v>
      </c>
      <c r="M314" s="6">
        <v>1</v>
      </c>
      <c r="N314" s="6">
        <v>1</v>
      </c>
      <c r="O314" s="6">
        <v>1</v>
      </c>
      <c r="P314" s="7"/>
      <c r="Q314" s="6">
        <v>2</v>
      </c>
      <c r="R314" s="6">
        <v>41</v>
      </c>
      <c r="S314" s="7">
        <f t="shared" ref="S314:S323" si="51">(R314/Q314)</f>
        <v>20.5</v>
      </c>
      <c r="T314" s="6"/>
      <c r="Y314" s="11"/>
      <c r="AB314" s="11"/>
      <c r="AD314" s="6"/>
      <c r="AE314" s="8" t="s">
        <v>787</v>
      </c>
    </row>
    <row r="315" spans="1:31" x14ac:dyDescent="0.25">
      <c r="A315" s="6" t="s">
        <v>1023</v>
      </c>
      <c r="B315" s="6">
        <v>28</v>
      </c>
      <c r="C315" s="6">
        <v>443</v>
      </c>
      <c r="D315" s="6">
        <v>25</v>
      </c>
      <c r="E315" s="6">
        <v>1</v>
      </c>
      <c r="F315" s="7">
        <f t="shared" si="46"/>
        <v>18.458333333333332</v>
      </c>
      <c r="G315" s="6">
        <v>15</v>
      </c>
      <c r="H315" s="6">
        <v>246</v>
      </c>
      <c r="I315" s="7">
        <f t="shared" si="47"/>
        <v>16.399999999999999</v>
      </c>
      <c r="J315" s="6"/>
      <c r="K315" s="6"/>
      <c r="L315" s="6">
        <v>16</v>
      </c>
      <c r="M315" s="6">
        <v>334</v>
      </c>
      <c r="N315" s="6">
        <v>14</v>
      </c>
      <c r="O315" s="6">
        <v>1</v>
      </c>
      <c r="P315" s="7">
        <f t="shared" si="48"/>
        <v>25.692307692307693</v>
      </c>
      <c r="Q315" s="6">
        <v>14</v>
      </c>
      <c r="R315" s="6">
        <v>178</v>
      </c>
      <c r="S315" s="7">
        <f t="shared" si="51"/>
        <v>12.714285714285714</v>
      </c>
      <c r="T315" s="6"/>
      <c r="U315" s="8"/>
      <c r="V315" s="8"/>
      <c r="W315" s="8"/>
      <c r="X315" s="8"/>
      <c r="Y315" s="11"/>
      <c r="Z315" s="8"/>
      <c r="AA315" s="8"/>
      <c r="AB315" s="11"/>
      <c r="AD315" s="6"/>
      <c r="AE315" s="8" t="s">
        <v>969</v>
      </c>
    </row>
    <row r="316" spans="1:31" x14ac:dyDescent="0.25">
      <c r="A316" s="6" t="s">
        <v>243</v>
      </c>
      <c r="B316" s="6">
        <v>22</v>
      </c>
      <c r="C316" s="6">
        <v>22</v>
      </c>
      <c r="D316" s="6">
        <v>13</v>
      </c>
      <c r="E316" s="6">
        <v>3</v>
      </c>
      <c r="F316" s="7">
        <f t="shared" si="46"/>
        <v>2.2000000000000002</v>
      </c>
      <c r="G316" s="6">
        <v>9</v>
      </c>
      <c r="H316" s="6">
        <v>159</v>
      </c>
      <c r="I316" s="7">
        <f t="shared" si="47"/>
        <v>17.666666666666668</v>
      </c>
      <c r="J316" s="6"/>
      <c r="K316" s="6"/>
      <c r="L316" s="6"/>
      <c r="M316" s="6"/>
      <c r="N316" s="6"/>
      <c r="O316" s="6"/>
      <c r="P316" s="7"/>
      <c r="Q316" s="6"/>
      <c r="R316" s="6"/>
      <c r="S316" s="7"/>
      <c r="T316" s="6"/>
      <c r="Y316" s="11"/>
      <c r="AA316" s="6"/>
      <c r="AB316" s="11"/>
    </row>
    <row r="317" spans="1:31" x14ac:dyDescent="0.25">
      <c r="A317" s="6" t="s">
        <v>244</v>
      </c>
      <c r="B317" s="6">
        <v>74.5</v>
      </c>
      <c r="C317" s="6">
        <v>730</v>
      </c>
      <c r="D317" s="6">
        <v>69</v>
      </c>
      <c r="E317" s="6">
        <v>5</v>
      </c>
      <c r="F317" s="7">
        <f t="shared" si="46"/>
        <v>11.40625</v>
      </c>
      <c r="G317" s="6">
        <v>13</v>
      </c>
      <c r="H317" s="6">
        <v>147</v>
      </c>
      <c r="I317" s="7">
        <f t="shared" si="47"/>
        <v>11.307692307692308</v>
      </c>
      <c r="J317" s="6"/>
      <c r="K317" s="6"/>
      <c r="L317" s="6">
        <v>9</v>
      </c>
      <c r="M317" s="6">
        <v>50</v>
      </c>
      <c r="N317" s="6">
        <v>5</v>
      </c>
      <c r="O317" s="6"/>
      <c r="P317" s="7">
        <f t="shared" si="48"/>
        <v>10</v>
      </c>
      <c r="Q317" s="6"/>
      <c r="R317" s="6">
        <v>24</v>
      </c>
      <c r="S317" s="10" t="s">
        <v>804</v>
      </c>
      <c r="T317" s="6"/>
      <c r="Y317" s="11"/>
      <c r="AA317" s="6"/>
      <c r="AB317" s="11"/>
      <c r="AD317" s="8"/>
      <c r="AE317" s="8" t="s">
        <v>882</v>
      </c>
    </row>
    <row r="318" spans="1:31" x14ac:dyDescent="0.25">
      <c r="A318" s="6" t="s">
        <v>696</v>
      </c>
      <c r="B318" s="6">
        <v>121</v>
      </c>
      <c r="C318" s="6">
        <v>1329</v>
      </c>
      <c r="D318" s="6">
        <v>98</v>
      </c>
      <c r="E318" s="6">
        <v>30</v>
      </c>
      <c r="F318" s="7">
        <f t="shared" si="46"/>
        <v>19.544117647058822</v>
      </c>
      <c r="G318" s="6">
        <v>133</v>
      </c>
      <c r="H318" s="6">
        <v>2499</v>
      </c>
      <c r="I318" s="7">
        <f t="shared" si="47"/>
        <v>18.789473684210527</v>
      </c>
      <c r="J318" s="6"/>
      <c r="K318" s="6"/>
      <c r="L318" s="6">
        <v>3</v>
      </c>
      <c r="M318" s="6">
        <v>16</v>
      </c>
      <c r="N318" s="6">
        <v>2</v>
      </c>
      <c r="O318" s="6">
        <v>1</v>
      </c>
      <c r="P318" s="7">
        <f t="shared" si="48"/>
        <v>16</v>
      </c>
      <c r="Q318" s="6">
        <v>7</v>
      </c>
      <c r="R318" s="6">
        <v>280</v>
      </c>
      <c r="S318" s="7">
        <f t="shared" si="51"/>
        <v>40</v>
      </c>
      <c r="T318" s="6"/>
      <c r="U318" s="13">
        <v>18</v>
      </c>
      <c r="V318" s="6">
        <v>194</v>
      </c>
      <c r="W318" s="6">
        <v>11</v>
      </c>
      <c r="X318" s="6">
        <v>3</v>
      </c>
      <c r="Y318" s="11">
        <f t="shared" si="50"/>
        <v>24.25</v>
      </c>
      <c r="Z318" s="6">
        <v>15</v>
      </c>
      <c r="AA318" s="6">
        <v>546</v>
      </c>
      <c r="AB318" s="11">
        <f t="shared" si="45"/>
        <v>36.4</v>
      </c>
      <c r="AD318" s="6"/>
      <c r="AE318" s="8" t="s">
        <v>1109</v>
      </c>
    </row>
    <row r="319" spans="1:31" x14ac:dyDescent="0.25">
      <c r="A319" s="6" t="s">
        <v>643</v>
      </c>
      <c r="B319" s="6">
        <v>37.5</v>
      </c>
      <c r="C319" s="6">
        <v>451</v>
      </c>
      <c r="D319" s="6">
        <v>36</v>
      </c>
      <c r="E319" s="6">
        <v>3</v>
      </c>
      <c r="F319" s="7">
        <f t="shared" si="46"/>
        <v>13.666666666666666</v>
      </c>
      <c r="G319" s="6">
        <v>13</v>
      </c>
      <c r="H319" s="6">
        <v>430</v>
      </c>
      <c r="I319" s="7">
        <f t="shared" si="47"/>
        <v>33.07692307692308</v>
      </c>
      <c r="J319" s="6"/>
      <c r="K319" s="6"/>
      <c r="L319" s="6">
        <v>28</v>
      </c>
      <c r="M319" s="6">
        <v>183</v>
      </c>
      <c r="N319" s="6">
        <v>22</v>
      </c>
      <c r="O319" s="6">
        <v>2</v>
      </c>
      <c r="P319" s="7">
        <f t="shared" si="48"/>
        <v>9.15</v>
      </c>
      <c r="Q319" s="6">
        <v>8</v>
      </c>
      <c r="R319" s="6">
        <v>329</v>
      </c>
      <c r="S319" s="7">
        <f t="shared" si="51"/>
        <v>41.125</v>
      </c>
      <c r="T319" s="6"/>
      <c r="Y319" s="11"/>
      <c r="AB319" s="11"/>
      <c r="AD319" s="6"/>
      <c r="AE319" s="8" t="s">
        <v>883</v>
      </c>
    </row>
    <row r="320" spans="1:31" x14ac:dyDescent="0.25">
      <c r="A320" s="6" t="s">
        <v>1137</v>
      </c>
      <c r="B320" s="6">
        <v>15</v>
      </c>
      <c r="C320" s="6">
        <v>507</v>
      </c>
      <c r="D320" s="6">
        <v>17</v>
      </c>
      <c r="E320" s="6"/>
      <c r="F320" s="7">
        <f t="shared" si="46"/>
        <v>29.823529411764707</v>
      </c>
      <c r="G320" s="6">
        <v>24</v>
      </c>
      <c r="H320" s="6">
        <v>541</v>
      </c>
      <c r="I320" s="7">
        <f t="shared" si="47"/>
        <v>22.541666666666668</v>
      </c>
      <c r="J320" s="6"/>
      <c r="K320" s="6"/>
      <c r="L320" s="6"/>
      <c r="M320" s="6"/>
      <c r="N320" s="6"/>
      <c r="O320" s="6"/>
      <c r="P320" s="7"/>
      <c r="Q320" s="6"/>
      <c r="R320" s="6"/>
      <c r="S320" s="7"/>
      <c r="T320" s="6"/>
      <c r="Y320" s="11"/>
      <c r="AB320" s="11"/>
      <c r="AD320" s="6"/>
      <c r="AE320" s="8" t="s">
        <v>1138</v>
      </c>
    </row>
    <row r="321" spans="1:31" x14ac:dyDescent="0.25">
      <c r="A321" s="6" t="s">
        <v>245</v>
      </c>
      <c r="B321" s="6">
        <v>1</v>
      </c>
      <c r="C321" s="6">
        <v>16</v>
      </c>
      <c r="D321" s="6">
        <v>1</v>
      </c>
      <c r="E321" s="6"/>
      <c r="F321" s="7">
        <f t="shared" si="46"/>
        <v>16</v>
      </c>
      <c r="G321" s="6"/>
      <c r="H321" s="6"/>
      <c r="I321" s="7"/>
      <c r="J321" s="6"/>
      <c r="K321" s="6"/>
      <c r="L321" s="6"/>
      <c r="M321" s="6"/>
      <c r="N321" s="6"/>
      <c r="O321" s="6"/>
      <c r="P321" s="7"/>
      <c r="Q321" s="6"/>
      <c r="R321" s="6"/>
      <c r="S321" s="7"/>
      <c r="T321" s="6"/>
      <c r="Y321" s="11"/>
      <c r="AA321" s="6"/>
      <c r="AB321" s="11"/>
    </row>
    <row r="322" spans="1:31" x14ac:dyDescent="0.25">
      <c r="A322" s="6" t="s">
        <v>246</v>
      </c>
      <c r="B322" s="6">
        <v>10</v>
      </c>
      <c r="C322" s="6">
        <v>183</v>
      </c>
      <c r="D322" s="6">
        <v>8</v>
      </c>
      <c r="E322" s="6">
        <v>2</v>
      </c>
      <c r="F322" s="7">
        <f t="shared" si="46"/>
        <v>30.5</v>
      </c>
      <c r="G322" s="6">
        <v>25</v>
      </c>
      <c r="H322" s="6">
        <v>243</v>
      </c>
      <c r="I322" s="7">
        <f t="shared" si="47"/>
        <v>9.7200000000000006</v>
      </c>
      <c r="J322" s="6"/>
      <c r="K322" s="6"/>
      <c r="L322" s="6"/>
      <c r="M322" s="6"/>
      <c r="N322" s="6"/>
      <c r="O322" s="6"/>
      <c r="P322" s="7"/>
      <c r="Q322" s="6"/>
      <c r="R322" s="6"/>
      <c r="S322" s="7"/>
      <c r="T322" s="6"/>
      <c r="Y322" s="11"/>
      <c r="AA322" s="6"/>
      <c r="AB322" s="11"/>
    </row>
    <row r="323" spans="1:31" x14ac:dyDescent="0.25">
      <c r="A323" s="6" t="s">
        <v>247</v>
      </c>
      <c r="B323" s="6">
        <v>16</v>
      </c>
      <c r="C323" s="6">
        <v>51</v>
      </c>
      <c r="D323" s="6">
        <v>6</v>
      </c>
      <c r="E323" s="6">
        <v>2</v>
      </c>
      <c r="F323" s="7">
        <f t="shared" si="46"/>
        <v>12.75</v>
      </c>
      <c r="G323" s="6">
        <v>21</v>
      </c>
      <c r="H323" s="6">
        <v>441</v>
      </c>
      <c r="I323" s="7">
        <f t="shared" si="47"/>
        <v>21</v>
      </c>
      <c r="J323" s="6"/>
      <c r="K323" s="6"/>
      <c r="L323" s="6">
        <v>1</v>
      </c>
      <c r="M323" s="6"/>
      <c r="N323" s="6"/>
      <c r="O323" s="6"/>
      <c r="P323" s="7"/>
      <c r="Q323" s="6">
        <v>3</v>
      </c>
      <c r="R323" s="6">
        <v>30</v>
      </c>
      <c r="S323" s="7">
        <f t="shared" si="51"/>
        <v>10</v>
      </c>
      <c r="T323" s="6"/>
      <c r="Y323" s="11"/>
      <c r="AB323" s="11"/>
      <c r="AD323" s="6"/>
      <c r="AE323" s="8" t="s">
        <v>248</v>
      </c>
    </row>
    <row r="324" spans="1:31" x14ac:dyDescent="0.25">
      <c r="A324" s="6" t="s">
        <v>249</v>
      </c>
      <c r="B324" s="6">
        <v>13</v>
      </c>
      <c r="C324" s="6">
        <v>229</v>
      </c>
      <c r="D324" s="6">
        <v>14</v>
      </c>
      <c r="E324" s="6">
        <v>2</v>
      </c>
      <c r="F324" s="7">
        <f t="shared" si="46"/>
        <v>19.083333333333332</v>
      </c>
      <c r="G324" s="6"/>
      <c r="H324" s="6"/>
      <c r="I324" s="7"/>
      <c r="J324" s="6"/>
      <c r="K324" s="6"/>
      <c r="L324" s="6">
        <v>4</v>
      </c>
      <c r="M324" s="6">
        <v>31</v>
      </c>
      <c r="N324" s="6">
        <v>3</v>
      </c>
      <c r="O324" s="6">
        <v>1</v>
      </c>
      <c r="P324" s="7">
        <f t="shared" si="48"/>
        <v>15.5</v>
      </c>
      <c r="Q324" s="6"/>
      <c r="R324" s="6"/>
      <c r="S324" s="7"/>
      <c r="T324" s="6"/>
      <c r="Y324" s="11"/>
      <c r="AA324" s="6"/>
      <c r="AB324" s="11"/>
    </row>
    <row r="325" spans="1:31" x14ac:dyDescent="0.25">
      <c r="A325" s="6" t="s">
        <v>250</v>
      </c>
      <c r="B325" s="6">
        <v>58</v>
      </c>
      <c r="C325" s="6">
        <v>262</v>
      </c>
      <c r="D325" s="6">
        <v>39</v>
      </c>
      <c r="E325" s="6">
        <v>14</v>
      </c>
      <c r="F325" s="7">
        <f t="shared" si="46"/>
        <v>10.48</v>
      </c>
      <c r="G325" s="6">
        <v>99</v>
      </c>
      <c r="H325" s="6">
        <v>1848</v>
      </c>
      <c r="I325" s="7">
        <f t="shared" si="47"/>
        <v>18.666666666666668</v>
      </c>
      <c r="J325" s="6"/>
      <c r="K325" s="6"/>
      <c r="L325" s="6"/>
      <c r="M325" s="6"/>
      <c r="N325" s="6"/>
      <c r="O325" s="6"/>
      <c r="P325" s="7"/>
      <c r="Q325" s="6"/>
      <c r="R325" s="6"/>
      <c r="S325" s="7"/>
      <c r="T325" s="6"/>
      <c r="Y325" s="11"/>
      <c r="AA325" s="6"/>
      <c r="AB325" s="11"/>
    </row>
    <row r="326" spans="1:31" x14ac:dyDescent="0.25">
      <c r="A326" s="6" t="s">
        <v>251</v>
      </c>
      <c r="B326" s="6">
        <v>2</v>
      </c>
      <c r="C326" s="6">
        <v>27</v>
      </c>
      <c r="D326" s="6">
        <v>2</v>
      </c>
      <c r="E326" s="6"/>
      <c r="F326" s="7">
        <f t="shared" si="46"/>
        <v>13.5</v>
      </c>
      <c r="G326" s="6"/>
      <c r="H326" s="6">
        <v>4</v>
      </c>
      <c r="I326" s="7"/>
      <c r="J326" s="6"/>
      <c r="K326" s="6"/>
      <c r="L326" s="6"/>
      <c r="M326" s="6"/>
      <c r="N326" s="6"/>
      <c r="O326" s="6"/>
      <c r="P326" s="7"/>
      <c r="Q326" s="6"/>
      <c r="R326" s="6"/>
      <c r="S326" s="7"/>
      <c r="T326" s="6"/>
      <c r="Y326" s="11"/>
      <c r="AA326" s="6"/>
      <c r="AB326" s="11"/>
    </row>
    <row r="327" spans="1:31" x14ac:dyDescent="0.25">
      <c r="A327" s="6" t="s">
        <v>252</v>
      </c>
      <c r="B327" s="6">
        <v>7</v>
      </c>
      <c r="C327" s="6">
        <v>56</v>
      </c>
      <c r="D327" s="6">
        <v>8</v>
      </c>
      <c r="E327" s="6">
        <v>1</v>
      </c>
      <c r="F327" s="7">
        <f t="shared" si="46"/>
        <v>8</v>
      </c>
      <c r="G327" s="6"/>
      <c r="H327" s="6"/>
      <c r="I327" s="7"/>
      <c r="J327" s="6"/>
      <c r="K327" s="6"/>
      <c r="L327" s="6"/>
      <c r="M327" s="6"/>
      <c r="N327" s="6"/>
      <c r="O327" s="6"/>
      <c r="P327" s="7"/>
      <c r="Q327" s="6"/>
      <c r="R327" s="6"/>
      <c r="S327" s="7"/>
      <c r="T327" s="6"/>
      <c r="Y327" s="11"/>
      <c r="AB327" s="11"/>
      <c r="AD327" s="6"/>
      <c r="AE327" s="8" t="s">
        <v>908</v>
      </c>
    </row>
    <row r="328" spans="1:31" x14ac:dyDescent="0.25">
      <c r="A328" s="6" t="s">
        <v>253</v>
      </c>
      <c r="B328" s="6">
        <v>186</v>
      </c>
      <c r="C328" s="6">
        <v>1846</v>
      </c>
      <c r="D328" s="6">
        <v>178</v>
      </c>
      <c r="E328" s="6">
        <v>26</v>
      </c>
      <c r="F328" s="7">
        <f t="shared" si="46"/>
        <v>12.144736842105264</v>
      </c>
      <c r="G328" s="6">
        <v>233</v>
      </c>
      <c r="H328" s="6">
        <v>5179</v>
      </c>
      <c r="I328" s="7">
        <f t="shared" si="47"/>
        <v>22.2274678111588</v>
      </c>
      <c r="J328" s="6"/>
      <c r="K328" s="6"/>
      <c r="L328" s="6">
        <v>76</v>
      </c>
      <c r="M328" s="6">
        <v>583</v>
      </c>
      <c r="N328" s="6">
        <v>45</v>
      </c>
      <c r="O328" s="6">
        <v>8</v>
      </c>
      <c r="P328" s="7">
        <f t="shared" si="48"/>
        <v>15.756756756756756</v>
      </c>
      <c r="Q328" s="6">
        <v>70</v>
      </c>
      <c r="R328" s="6">
        <v>1594</v>
      </c>
      <c r="S328" s="7">
        <f t="shared" ref="S328:S372" si="52">(R328/Q328)</f>
        <v>22.771428571428572</v>
      </c>
      <c r="T328" s="6"/>
      <c r="Y328" s="11"/>
      <c r="AB328" s="11"/>
      <c r="AD328" s="6"/>
      <c r="AE328" s="8" t="s">
        <v>697</v>
      </c>
    </row>
    <row r="329" spans="1:31" x14ac:dyDescent="0.25">
      <c r="A329" s="6" t="s">
        <v>254</v>
      </c>
      <c r="B329" s="6">
        <v>5</v>
      </c>
      <c r="C329" s="6">
        <v>35</v>
      </c>
      <c r="D329" s="6">
        <v>5</v>
      </c>
      <c r="E329" s="6"/>
      <c r="F329" s="7">
        <f t="shared" si="46"/>
        <v>7</v>
      </c>
      <c r="G329" s="6">
        <v>3</v>
      </c>
      <c r="H329" s="6">
        <v>21</v>
      </c>
      <c r="I329" s="7">
        <f t="shared" si="47"/>
        <v>7</v>
      </c>
      <c r="J329" s="6"/>
      <c r="K329" s="6"/>
      <c r="L329" s="6"/>
      <c r="M329" s="6"/>
      <c r="N329" s="6"/>
      <c r="O329" s="6"/>
      <c r="P329" s="7"/>
      <c r="Q329" s="6"/>
      <c r="R329" s="6"/>
      <c r="S329" s="7"/>
      <c r="T329" s="6"/>
      <c r="Y329" s="11"/>
      <c r="AA329" s="6"/>
      <c r="AB329" s="11"/>
    </row>
    <row r="330" spans="1:31" x14ac:dyDescent="0.25">
      <c r="A330" s="6" t="s">
        <v>255</v>
      </c>
      <c r="B330" s="6">
        <v>5</v>
      </c>
      <c r="C330" s="6">
        <v>69</v>
      </c>
      <c r="D330" s="6">
        <v>5</v>
      </c>
      <c r="E330" s="6"/>
      <c r="F330" s="7">
        <f t="shared" si="46"/>
        <v>13.8</v>
      </c>
      <c r="G330" s="6">
        <v>5</v>
      </c>
      <c r="H330" s="6">
        <v>107</v>
      </c>
      <c r="I330" s="7">
        <f t="shared" si="47"/>
        <v>21.4</v>
      </c>
      <c r="J330" s="6"/>
      <c r="K330" s="6"/>
      <c r="L330" s="6"/>
      <c r="M330" s="6"/>
      <c r="N330" s="6"/>
      <c r="O330" s="6"/>
      <c r="P330" s="7"/>
      <c r="Q330" s="6"/>
      <c r="R330" s="6"/>
      <c r="S330" s="7"/>
      <c r="T330" s="6"/>
      <c r="Y330" s="11"/>
      <c r="AA330" s="6"/>
      <c r="AB330" s="11"/>
    </row>
    <row r="331" spans="1:31" x14ac:dyDescent="0.25">
      <c r="A331" s="6" t="s">
        <v>256</v>
      </c>
      <c r="B331" s="6">
        <v>3</v>
      </c>
      <c r="C331" s="6">
        <v>23</v>
      </c>
      <c r="D331" s="6">
        <v>3</v>
      </c>
      <c r="E331" s="6"/>
      <c r="F331" s="7">
        <f t="shared" si="46"/>
        <v>7.666666666666667</v>
      </c>
      <c r="G331" s="6"/>
      <c r="H331" s="6">
        <v>7</v>
      </c>
      <c r="I331" s="7"/>
      <c r="J331" s="6"/>
      <c r="K331" s="6"/>
      <c r="L331" s="6"/>
      <c r="M331" s="6"/>
      <c r="N331" s="6"/>
      <c r="O331" s="6"/>
      <c r="P331" s="7"/>
      <c r="Q331" s="6"/>
      <c r="R331" s="6"/>
      <c r="S331" s="7"/>
      <c r="T331" s="6"/>
      <c r="Y331" s="11"/>
      <c r="AA331" s="6"/>
      <c r="AB331" s="11"/>
    </row>
    <row r="332" spans="1:31" x14ac:dyDescent="0.25">
      <c r="A332" s="6" t="s">
        <v>257</v>
      </c>
      <c r="B332" s="6">
        <v>11</v>
      </c>
      <c r="C332" s="6">
        <v>74</v>
      </c>
      <c r="D332" s="6">
        <v>11</v>
      </c>
      <c r="E332" s="6">
        <v>7</v>
      </c>
      <c r="F332" s="7">
        <f t="shared" si="46"/>
        <v>18.5</v>
      </c>
      <c r="G332" s="6">
        <v>12</v>
      </c>
      <c r="H332" s="6">
        <v>122</v>
      </c>
      <c r="I332" s="7">
        <f t="shared" si="47"/>
        <v>10.166666666666666</v>
      </c>
      <c r="J332" s="6"/>
      <c r="K332" s="6"/>
      <c r="L332" s="6"/>
      <c r="M332" s="6"/>
      <c r="N332" s="6"/>
      <c r="O332" s="6"/>
      <c r="P332" s="7"/>
      <c r="Q332" s="6"/>
      <c r="R332" s="6"/>
      <c r="S332" s="7"/>
      <c r="T332" s="6"/>
      <c r="Y332" s="11"/>
      <c r="AA332" s="6"/>
      <c r="AB332" s="11"/>
    </row>
    <row r="333" spans="1:31" x14ac:dyDescent="0.25">
      <c r="A333" s="6" t="s">
        <v>258</v>
      </c>
      <c r="B333" s="6">
        <v>1</v>
      </c>
      <c r="C333" s="6"/>
      <c r="D333" s="6">
        <v>1</v>
      </c>
      <c r="E333" s="6"/>
      <c r="F333" s="7"/>
      <c r="G333" s="6"/>
      <c r="H333" s="6"/>
      <c r="I333" s="7"/>
      <c r="J333" s="6"/>
      <c r="K333" s="6"/>
      <c r="L333" s="6"/>
      <c r="M333" s="6"/>
      <c r="N333" s="6"/>
      <c r="O333" s="6"/>
      <c r="P333" s="7"/>
      <c r="Q333" s="6"/>
      <c r="R333" s="6"/>
      <c r="S333" s="7"/>
      <c r="T333" s="6"/>
      <c r="Y333" s="11"/>
      <c r="AA333" s="6"/>
      <c r="AB333" s="11"/>
    </row>
    <row r="334" spans="1:31" x14ac:dyDescent="0.25">
      <c r="A334" s="6" t="s">
        <v>259</v>
      </c>
      <c r="B334" s="6">
        <v>79</v>
      </c>
      <c r="C334" s="6">
        <v>1580</v>
      </c>
      <c r="D334" s="6">
        <v>87</v>
      </c>
      <c r="E334" s="6">
        <v>16</v>
      </c>
      <c r="F334" s="7">
        <f t="shared" si="46"/>
        <v>22.253521126760564</v>
      </c>
      <c r="G334" s="6">
        <v>84</v>
      </c>
      <c r="H334" s="6">
        <v>1138</v>
      </c>
      <c r="I334" s="7">
        <f t="shared" si="47"/>
        <v>13.547619047619047</v>
      </c>
      <c r="J334" s="6"/>
      <c r="K334" s="6"/>
      <c r="L334" s="6"/>
      <c r="M334" s="6"/>
      <c r="N334" s="6"/>
      <c r="O334" s="6"/>
      <c r="P334" s="7"/>
      <c r="Q334" s="6"/>
      <c r="R334" s="6"/>
      <c r="S334" s="7"/>
      <c r="T334" s="6"/>
      <c r="Y334" s="11"/>
      <c r="AA334" s="6"/>
      <c r="AB334" s="11"/>
    </row>
    <row r="335" spans="1:31" x14ac:dyDescent="0.25">
      <c r="A335" s="6" t="s">
        <v>260</v>
      </c>
      <c r="B335" s="6">
        <v>8</v>
      </c>
      <c r="C335" s="6">
        <v>182</v>
      </c>
      <c r="D335" s="6">
        <v>6</v>
      </c>
      <c r="E335" s="6"/>
      <c r="F335" s="7">
        <f t="shared" si="46"/>
        <v>30.333333333333332</v>
      </c>
      <c r="G335" s="6">
        <v>20</v>
      </c>
      <c r="H335" s="6">
        <v>336</v>
      </c>
      <c r="I335" s="7">
        <f t="shared" si="47"/>
        <v>16.8</v>
      </c>
      <c r="J335" s="6"/>
      <c r="K335" s="6"/>
      <c r="L335" s="6"/>
      <c r="M335" s="6"/>
      <c r="N335" s="6"/>
      <c r="O335" s="6"/>
      <c r="P335" s="7"/>
      <c r="Q335" s="6"/>
      <c r="R335" s="6"/>
      <c r="S335" s="7"/>
      <c r="T335" s="6"/>
      <c r="Y335" s="11"/>
      <c r="AA335" s="6"/>
      <c r="AB335" s="11"/>
    </row>
    <row r="336" spans="1:31" x14ac:dyDescent="0.25">
      <c r="A336" s="6" t="s">
        <v>261</v>
      </c>
      <c r="B336" s="6">
        <v>1</v>
      </c>
      <c r="C336" s="6">
        <v>31</v>
      </c>
      <c r="D336" s="6">
        <v>1</v>
      </c>
      <c r="E336" s="6"/>
      <c r="F336" s="7">
        <f t="shared" si="46"/>
        <v>31</v>
      </c>
      <c r="G336" s="6"/>
      <c r="H336" s="6"/>
      <c r="I336" s="7"/>
      <c r="J336" s="6"/>
      <c r="K336" s="6"/>
      <c r="L336" s="6"/>
      <c r="M336" s="6"/>
      <c r="N336" s="6"/>
      <c r="O336" s="6"/>
      <c r="P336" s="7"/>
      <c r="Q336" s="6"/>
      <c r="R336" s="6"/>
      <c r="S336" s="7"/>
      <c r="T336" s="6"/>
      <c r="Y336" s="11"/>
      <c r="AA336" s="6"/>
      <c r="AB336" s="11"/>
    </row>
    <row r="337" spans="1:31" x14ac:dyDescent="0.25">
      <c r="A337" s="6" t="s">
        <v>262</v>
      </c>
      <c r="B337" s="6">
        <v>13</v>
      </c>
      <c r="C337" s="6">
        <v>29</v>
      </c>
      <c r="D337" s="6">
        <v>10</v>
      </c>
      <c r="E337" s="6"/>
      <c r="F337" s="7">
        <f t="shared" si="46"/>
        <v>2.9</v>
      </c>
      <c r="G337" s="6">
        <v>2</v>
      </c>
      <c r="H337" s="6">
        <v>124</v>
      </c>
      <c r="I337" s="7">
        <f t="shared" si="47"/>
        <v>62</v>
      </c>
      <c r="J337" s="6"/>
      <c r="K337" s="6"/>
      <c r="L337" s="6"/>
      <c r="M337" s="6"/>
      <c r="N337" s="6"/>
      <c r="O337" s="6"/>
      <c r="P337" s="7"/>
      <c r="Q337" s="6"/>
      <c r="R337" s="6"/>
      <c r="S337" s="7"/>
      <c r="T337" s="6"/>
      <c r="Y337" s="11"/>
      <c r="AA337" s="6"/>
      <c r="AB337" s="11"/>
    </row>
    <row r="338" spans="1:31" x14ac:dyDescent="0.25">
      <c r="A338" s="6" t="s">
        <v>263</v>
      </c>
      <c r="B338" s="6">
        <v>5</v>
      </c>
      <c r="C338" s="6">
        <v>89</v>
      </c>
      <c r="D338" s="6">
        <v>5</v>
      </c>
      <c r="E338" s="6">
        <v>2</v>
      </c>
      <c r="F338" s="7">
        <f t="shared" si="46"/>
        <v>29.666666666666668</v>
      </c>
      <c r="G338" s="6">
        <v>6</v>
      </c>
      <c r="H338" s="6">
        <v>147</v>
      </c>
      <c r="I338" s="7">
        <f t="shared" si="47"/>
        <v>24.5</v>
      </c>
      <c r="J338" s="6"/>
      <c r="K338" s="6"/>
      <c r="L338" s="6"/>
      <c r="M338" s="6"/>
      <c r="N338" s="6"/>
      <c r="O338" s="6"/>
      <c r="P338" s="7"/>
      <c r="Q338" s="6"/>
      <c r="R338" s="6"/>
      <c r="S338" s="7"/>
      <c r="T338" s="6"/>
      <c r="Y338" s="11"/>
      <c r="AA338" s="6"/>
      <c r="AB338" s="11"/>
    </row>
    <row r="339" spans="1:31" x14ac:dyDescent="0.25">
      <c r="A339" s="6" t="s">
        <v>264</v>
      </c>
      <c r="B339" s="6">
        <v>44</v>
      </c>
      <c r="C339" s="6">
        <v>954</v>
      </c>
      <c r="D339" s="6">
        <v>53</v>
      </c>
      <c r="E339" s="6">
        <v>6</v>
      </c>
      <c r="F339" s="7">
        <f t="shared" si="46"/>
        <v>20.297872340425531</v>
      </c>
      <c r="G339" s="6">
        <v>4</v>
      </c>
      <c r="H339" s="6">
        <v>130</v>
      </c>
      <c r="I339" s="7">
        <f t="shared" si="47"/>
        <v>32.5</v>
      </c>
      <c r="J339" s="6"/>
      <c r="K339" s="6"/>
      <c r="L339" s="6"/>
      <c r="M339" s="6"/>
      <c r="N339" s="6"/>
      <c r="O339" s="6"/>
      <c r="P339" s="7"/>
      <c r="Q339" s="6"/>
      <c r="R339" s="6"/>
      <c r="S339" s="7"/>
      <c r="T339" s="6"/>
      <c r="Y339" s="11"/>
      <c r="AA339" s="6"/>
      <c r="AB339" s="11"/>
      <c r="AE339" s="1" t="s">
        <v>1139</v>
      </c>
    </row>
    <row r="340" spans="1:31" x14ac:dyDescent="0.25">
      <c r="A340" s="6" t="s">
        <v>265</v>
      </c>
      <c r="B340" s="6">
        <v>2</v>
      </c>
      <c r="C340" s="6">
        <v>1</v>
      </c>
      <c r="D340" s="6">
        <v>2</v>
      </c>
      <c r="E340" s="6">
        <v>1</v>
      </c>
      <c r="F340" s="7">
        <f t="shared" si="46"/>
        <v>1</v>
      </c>
      <c r="G340" s="6"/>
      <c r="H340" s="6"/>
      <c r="I340" s="7"/>
      <c r="J340" s="6"/>
      <c r="K340" s="6"/>
      <c r="L340" s="6"/>
      <c r="M340" s="6"/>
      <c r="N340" s="6"/>
      <c r="O340" s="6"/>
      <c r="P340" s="7"/>
      <c r="Q340" s="6"/>
      <c r="R340" s="6"/>
      <c r="S340" s="7"/>
      <c r="T340" s="6"/>
      <c r="Y340" s="11"/>
      <c r="AA340" s="6"/>
      <c r="AB340" s="11"/>
    </row>
    <row r="341" spans="1:31" x14ac:dyDescent="0.25">
      <c r="A341" s="6" t="s">
        <v>1024</v>
      </c>
      <c r="B341" s="6">
        <v>1</v>
      </c>
      <c r="C341" s="6"/>
      <c r="D341" s="6"/>
      <c r="E341" s="6"/>
      <c r="F341" s="7"/>
      <c r="G341" s="6"/>
      <c r="H341" s="6">
        <v>24</v>
      </c>
      <c r="I341" s="7"/>
      <c r="J341" s="6"/>
      <c r="K341" s="6"/>
      <c r="L341" s="6"/>
      <c r="M341" s="6"/>
      <c r="N341" s="6"/>
      <c r="O341" s="6"/>
      <c r="P341" s="7"/>
      <c r="Q341" s="6"/>
      <c r="R341" s="6"/>
      <c r="S341" s="7"/>
      <c r="T341" s="6"/>
      <c r="Y341" s="11"/>
      <c r="AA341" s="6"/>
      <c r="AB341" s="11"/>
    </row>
    <row r="342" spans="1:31" x14ac:dyDescent="0.25">
      <c r="A342" s="6" t="s">
        <v>1025</v>
      </c>
      <c r="B342" s="6">
        <v>1</v>
      </c>
      <c r="C342" s="6"/>
      <c r="D342" s="6"/>
      <c r="E342" s="6"/>
      <c r="F342" s="7"/>
      <c r="G342" s="6"/>
      <c r="H342" s="6">
        <v>7</v>
      </c>
      <c r="I342" s="7"/>
      <c r="J342" s="6"/>
      <c r="K342" s="6"/>
      <c r="L342" s="6"/>
      <c r="M342" s="6"/>
      <c r="N342" s="6"/>
      <c r="O342" s="6"/>
      <c r="P342" s="7"/>
      <c r="Q342" s="6"/>
      <c r="R342" s="6"/>
      <c r="S342" s="7"/>
      <c r="T342" s="6"/>
      <c r="Y342" s="11"/>
      <c r="AA342" s="6"/>
      <c r="AB342" s="11"/>
    </row>
    <row r="343" spans="1:31" x14ac:dyDescent="0.25">
      <c r="A343" s="6" t="s">
        <v>266</v>
      </c>
      <c r="B343" s="6">
        <v>5</v>
      </c>
      <c r="C343" s="6">
        <v>3</v>
      </c>
      <c r="D343" s="6">
        <v>6</v>
      </c>
      <c r="E343" s="6">
        <v>2</v>
      </c>
      <c r="F343" s="7">
        <f t="shared" si="46"/>
        <v>0.75</v>
      </c>
      <c r="G343" s="6"/>
      <c r="H343" s="6">
        <v>31</v>
      </c>
      <c r="I343" s="7"/>
      <c r="J343" s="6"/>
      <c r="K343" s="6"/>
      <c r="L343" s="6"/>
      <c r="M343" s="6"/>
      <c r="N343" s="6"/>
      <c r="O343" s="6"/>
      <c r="P343" s="7"/>
      <c r="Q343" s="6"/>
      <c r="R343" s="6"/>
      <c r="S343" s="7"/>
      <c r="T343" s="6"/>
      <c r="Y343" s="11"/>
      <c r="AA343" s="6"/>
      <c r="AB343" s="11"/>
    </row>
    <row r="344" spans="1:31" x14ac:dyDescent="0.25">
      <c r="A344" s="6" t="s">
        <v>267</v>
      </c>
      <c r="B344" s="6">
        <v>18</v>
      </c>
      <c r="C344" s="6">
        <v>380</v>
      </c>
      <c r="D344" s="6">
        <v>17</v>
      </c>
      <c r="E344" s="6">
        <v>5</v>
      </c>
      <c r="F344" s="7">
        <f t="shared" si="46"/>
        <v>31.666666666666668</v>
      </c>
      <c r="G344" s="6">
        <v>30</v>
      </c>
      <c r="H344" s="6">
        <v>372</v>
      </c>
      <c r="I344" s="7">
        <f t="shared" si="47"/>
        <v>12.4</v>
      </c>
      <c r="J344" s="6"/>
      <c r="K344" s="6"/>
      <c r="L344" s="6"/>
      <c r="M344" s="6"/>
      <c r="N344" s="6"/>
      <c r="O344" s="6"/>
      <c r="P344" s="7"/>
      <c r="Q344" s="6"/>
      <c r="R344" s="6"/>
      <c r="S344" s="7"/>
      <c r="T344" s="6"/>
      <c r="Y344" s="11"/>
      <c r="AA344" s="6"/>
      <c r="AB344" s="11"/>
    </row>
    <row r="345" spans="1:31" x14ac:dyDescent="0.25">
      <c r="A345" s="6" t="s">
        <v>268</v>
      </c>
      <c r="B345" s="6">
        <v>17.5</v>
      </c>
      <c r="C345" s="6">
        <v>65</v>
      </c>
      <c r="D345" s="6">
        <v>19</v>
      </c>
      <c r="E345" s="6">
        <v>5</v>
      </c>
      <c r="F345" s="7">
        <f t="shared" si="46"/>
        <v>4.6428571428571432</v>
      </c>
      <c r="G345" s="6">
        <v>10</v>
      </c>
      <c r="H345" s="6">
        <v>318</v>
      </c>
      <c r="I345" s="7">
        <f t="shared" si="47"/>
        <v>31.8</v>
      </c>
      <c r="J345" s="6"/>
      <c r="K345" s="6"/>
      <c r="L345" s="6">
        <v>15</v>
      </c>
      <c r="M345" s="6">
        <v>29</v>
      </c>
      <c r="N345" s="6">
        <v>12</v>
      </c>
      <c r="O345" s="6">
        <v>3</v>
      </c>
      <c r="P345" s="7">
        <f t="shared" si="48"/>
        <v>3.2222222222222223</v>
      </c>
      <c r="Q345" s="6">
        <v>8</v>
      </c>
      <c r="R345" s="6">
        <v>177</v>
      </c>
      <c r="S345" s="7">
        <f t="shared" si="52"/>
        <v>22.125</v>
      </c>
      <c r="T345" s="6"/>
      <c r="Y345" s="11"/>
      <c r="AB345" s="11"/>
      <c r="AD345" s="6"/>
      <c r="AE345" s="8" t="s">
        <v>748</v>
      </c>
    </row>
    <row r="346" spans="1:31" x14ac:dyDescent="0.25">
      <c r="A346" s="6" t="s">
        <v>269</v>
      </c>
      <c r="B346" s="14">
        <v>276</v>
      </c>
      <c r="C346" s="6">
        <v>6215</v>
      </c>
      <c r="D346" s="6">
        <v>290</v>
      </c>
      <c r="E346" s="6">
        <v>26</v>
      </c>
      <c r="F346" s="7">
        <f t="shared" si="46"/>
        <v>23.541666666666668</v>
      </c>
      <c r="G346" s="6">
        <v>120</v>
      </c>
      <c r="H346" s="6">
        <v>2598</v>
      </c>
      <c r="I346" s="7">
        <f t="shared" si="47"/>
        <v>21.65</v>
      </c>
      <c r="J346" s="6"/>
      <c r="K346" s="6"/>
      <c r="L346" s="6">
        <v>15</v>
      </c>
      <c r="M346" s="6">
        <v>215</v>
      </c>
      <c r="N346" s="6">
        <v>9</v>
      </c>
      <c r="O346" s="6">
        <v>2</v>
      </c>
      <c r="P346" s="7">
        <f t="shared" si="48"/>
        <v>30.714285714285715</v>
      </c>
      <c r="Q346" s="6">
        <v>5</v>
      </c>
      <c r="R346" s="6">
        <v>123</v>
      </c>
      <c r="S346" s="7">
        <f t="shared" si="52"/>
        <v>24.6</v>
      </c>
      <c r="T346" s="6"/>
      <c r="U346" s="13">
        <v>21</v>
      </c>
      <c r="V346" s="13">
        <v>488</v>
      </c>
      <c r="W346" s="13">
        <v>20</v>
      </c>
      <c r="X346" s="13">
        <v>3</v>
      </c>
      <c r="Y346" s="11">
        <f t="shared" si="50"/>
        <v>28.705882352941178</v>
      </c>
      <c r="Z346" s="13">
        <v>1</v>
      </c>
      <c r="AA346" s="13">
        <v>23</v>
      </c>
      <c r="AB346" s="11">
        <f t="shared" ref="AB346:AB407" si="53">AA346/Z346</f>
        <v>23</v>
      </c>
      <c r="AD346" s="6"/>
      <c r="AE346" s="8" t="s">
        <v>1140</v>
      </c>
    </row>
    <row r="347" spans="1:31" x14ac:dyDescent="0.25">
      <c r="A347" s="6" t="s">
        <v>270</v>
      </c>
      <c r="B347" s="6">
        <v>103</v>
      </c>
      <c r="C347" s="6">
        <v>1458</v>
      </c>
      <c r="D347" s="6">
        <v>93</v>
      </c>
      <c r="E347" s="6">
        <v>20</v>
      </c>
      <c r="F347" s="7">
        <f t="shared" si="46"/>
        <v>19.972602739726028</v>
      </c>
      <c r="G347" s="6">
        <v>38</v>
      </c>
      <c r="H347" s="6">
        <v>579</v>
      </c>
      <c r="I347" s="7">
        <f t="shared" si="47"/>
        <v>15.236842105263158</v>
      </c>
      <c r="J347" s="6"/>
      <c r="K347" s="6"/>
      <c r="L347" s="6">
        <v>9</v>
      </c>
      <c r="M347" s="6">
        <v>250</v>
      </c>
      <c r="N347" s="6">
        <v>8</v>
      </c>
      <c r="O347" s="6">
        <v>3</v>
      </c>
      <c r="P347" s="7">
        <f t="shared" si="48"/>
        <v>50</v>
      </c>
      <c r="Q347" s="6">
        <v>1</v>
      </c>
      <c r="R347" s="6">
        <v>8</v>
      </c>
      <c r="S347" s="7">
        <f t="shared" si="52"/>
        <v>8</v>
      </c>
      <c r="T347" s="6"/>
      <c r="U347" s="13">
        <v>8</v>
      </c>
      <c r="V347" s="13">
        <v>21</v>
      </c>
      <c r="W347" s="13">
        <v>4</v>
      </c>
      <c r="X347" s="13">
        <v>1</v>
      </c>
      <c r="Y347" s="11">
        <f t="shared" si="50"/>
        <v>7</v>
      </c>
      <c r="Z347" s="13"/>
      <c r="AA347" s="13"/>
      <c r="AB347" s="11"/>
      <c r="AD347" s="6"/>
      <c r="AE347" s="8" t="s">
        <v>1026</v>
      </c>
    </row>
    <row r="348" spans="1:31" x14ac:dyDescent="0.25">
      <c r="A348" s="6" t="s">
        <v>272</v>
      </c>
      <c r="B348" s="6">
        <v>30</v>
      </c>
      <c r="C348" s="6">
        <v>193</v>
      </c>
      <c r="D348" s="6">
        <v>24</v>
      </c>
      <c r="E348" s="6">
        <v>2</v>
      </c>
      <c r="F348" s="7">
        <f t="shared" si="46"/>
        <v>8.7727272727272734</v>
      </c>
      <c r="G348" s="6">
        <v>16</v>
      </c>
      <c r="H348" s="6">
        <v>306</v>
      </c>
      <c r="I348" s="7">
        <f t="shared" si="47"/>
        <v>19.125</v>
      </c>
      <c r="J348" s="6"/>
      <c r="K348" s="6"/>
      <c r="L348" s="6"/>
      <c r="M348" s="6"/>
      <c r="N348" s="6"/>
      <c r="O348" s="6"/>
      <c r="P348" s="7"/>
      <c r="Q348" s="6"/>
      <c r="R348" s="6"/>
      <c r="S348" s="7"/>
      <c r="T348" s="6"/>
      <c r="Y348" s="11"/>
      <c r="AA348" s="6"/>
      <c r="AB348" s="11"/>
    </row>
    <row r="349" spans="1:31" x14ac:dyDescent="0.25">
      <c r="A349" s="6" t="s">
        <v>749</v>
      </c>
      <c r="B349" s="6">
        <v>3</v>
      </c>
      <c r="C349" s="6">
        <v>23</v>
      </c>
      <c r="D349" s="6">
        <v>3</v>
      </c>
      <c r="E349" s="6">
        <v>1</v>
      </c>
      <c r="F349" s="7">
        <f t="shared" si="46"/>
        <v>11.5</v>
      </c>
      <c r="G349" s="6">
        <v>2</v>
      </c>
      <c r="H349" s="6">
        <v>42</v>
      </c>
      <c r="I349" s="7">
        <f t="shared" si="47"/>
        <v>21</v>
      </c>
      <c r="J349" s="6"/>
      <c r="K349" s="6"/>
      <c r="L349" s="6">
        <v>1</v>
      </c>
      <c r="M349" s="6">
        <v>4</v>
      </c>
      <c r="N349" s="6">
        <v>1</v>
      </c>
      <c r="O349" s="6"/>
      <c r="P349" s="7">
        <f t="shared" si="48"/>
        <v>4</v>
      </c>
      <c r="Q349" s="6"/>
      <c r="R349" s="6"/>
      <c r="S349" s="7"/>
      <c r="T349" s="6"/>
      <c r="Y349" s="11"/>
      <c r="AB349" s="11"/>
      <c r="AD349" s="6"/>
      <c r="AE349" s="8" t="s">
        <v>892</v>
      </c>
    </row>
    <row r="350" spans="1:31" x14ac:dyDescent="0.25">
      <c r="A350" s="6" t="s">
        <v>884</v>
      </c>
      <c r="B350" s="6">
        <v>13</v>
      </c>
      <c r="C350" s="6">
        <v>66</v>
      </c>
      <c r="D350" s="6">
        <v>12</v>
      </c>
      <c r="E350" s="6">
        <v>2</v>
      </c>
      <c r="F350" s="7">
        <f t="shared" si="46"/>
        <v>6.6</v>
      </c>
      <c r="G350" s="6">
        <v>8</v>
      </c>
      <c r="H350" s="6">
        <v>348</v>
      </c>
      <c r="I350" s="7">
        <f t="shared" si="47"/>
        <v>43.5</v>
      </c>
      <c r="J350" s="6"/>
      <c r="K350" s="6"/>
      <c r="L350" s="6"/>
      <c r="M350" s="6"/>
      <c r="N350" s="6"/>
      <c r="O350" s="6"/>
      <c r="P350" s="7"/>
      <c r="Q350" s="6"/>
      <c r="R350" s="6"/>
      <c r="S350" s="7"/>
      <c r="T350" s="6"/>
      <c r="Y350" s="11"/>
      <c r="AB350" s="11"/>
      <c r="AD350" s="6"/>
      <c r="AE350" s="8"/>
    </row>
    <row r="351" spans="1:31" x14ac:dyDescent="0.25">
      <c r="A351" s="6" t="s">
        <v>922</v>
      </c>
      <c r="B351" s="6">
        <v>2</v>
      </c>
      <c r="C351" s="6">
        <v>1</v>
      </c>
      <c r="D351" s="6">
        <v>2</v>
      </c>
      <c r="E351" s="6"/>
      <c r="F351" s="7"/>
      <c r="G351" s="6">
        <v>5</v>
      </c>
      <c r="H351" s="6">
        <v>52</v>
      </c>
      <c r="I351" s="7">
        <f t="shared" si="47"/>
        <v>10.4</v>
      </c>
      <c r="J351" s="6"/>
      <c r="K351" s="6"/>
      <c r="L351" s="6"/>
      <c r="M351" s="6"/>
      <c r="N351" s="6"/>
      <c r="O351" s="6"/>
      <c r="P351" s="7"/>
      <c r="Q351" s="6"/>
      <c r="R351" s="6"/>
      <c r="S351" s="7"/>
      <c r="T351" s="6"/>
      <c r="Y351" s="11"/>
      <c r="AB351" s="11"/>
      <c r="AD351" s="6"/>
      <c r="AE351" s="8"/>
    </row>
    <row r="352" spans="1:31" x14ac:dyDescent="0.25">
      <c r="A352" s="6" t="s">
        <v>273</v>
      </c>
      <c r="B352" s="6">
        <v>2</v>
      </c>
      <c r="C352" s="6">
        <v>44</v>
      </c>
      <c r="D352" s="6">
        <v>3</v>
      </c>
      <c r="E352" s="6">
        <v>2</v>
      </c>
      <c r="F352" s="7">
        <f t="shared" si="46"/>
        <v>44</v>
      </c>
      <c r="G352" s="6"/>
      <c r="H352" s="6"/>
      <c r="I352" s="7"/>
      <c r="J352" s="6"/>
      <c r="K352" s="6"/>
      <c r="L352" s="6"/>
      <c r="M352" s="6"/>
      <c r="N352" s="6"/>
      <c r="O352" s="6"/>
      <c r="P352" s="7"/>
      <c r="Q352" s="6"/>
      <c r="R352" s="6"/>
      <c r="S352" s="7"/>
      <c r="T352" s="6"/>
      <c r="Y352" s="11"/>
      <c r="AA352" s="6"/>
      <c r="AB352" s="11"/>
    </row>
    <row r="353" spans="1:31" x14ac:dyDescent="0.25">
      <c r="A353" s="6" t="s">
        <v>725</v>
      </c>
      <c r="B353" s="6">
        <v>1</v>
      </c>
      <c r="C353" s="6">
        <v>5</v>
      </c>
      <c r="D353" s="6">
        <v>1</v>
      </c>
      <c r="E353" s="6"/>
      <c r="F353" s="7">
        <f t="shared" si="46"/>
        <v>5</v>
      </c>
      <c r="G353" s="6"/>
      <c r="H353" s="6"/>
      <c r="I353" s="7"/>
      <c r="J353" s="6"/>
      <c r="K353" s="6"/>
      <c r="L353" s="6">
        <v>1</v>
      </c>
      <c r="M353" s="6">
        <v>5</v>
      </c>
      <c r="N353" s="6">
        <v>1</v>
      </c>
      <c r="O353" s="6"/>
      <c r="P353" s="7">
        <f t="shared" si="48"/>
        <v>5</v>
      </c>
      <c r="Q353" s="6"/>
      <c r="R353" s="6"/>
      <c r="S353" s="7"/>
      <c r="T353" s="6"/>
      <c r="Y353" s="11"/>
      <c r="AB353" s="11"/>
      <c r="AD353" s="6"/>
      <c r="AE353" s="8" t="s">
        <v>23</v>
      </c>
    </row>
    <row r="354" spans="1:31" x14ac:dyDescent="0.25">
      <c r="A354" s="6" t="s">
        <v>726</v>
      </c>
      <c r="B354" s="6">
        <v>3</v>
      </c>
      <c r="C354" s="6">
        <v>4</v>
      </c>
      <c r="D354" s="6">
        <v>3</v>
      </c>
      <c r="E354" s="6"/>
      <c r="F354" s="7">
        <f t="shared" si="46"/>
        <v>1.3333333333333333</v>
      </c>
      <c r="G354" s="6">
        <v>1</v>
      </c>
      <c r="H354" s="6">
        <v>38</v>
      </c>
      <c r="I354" s="7">
        <f t="shared" si="47"/>
        <v>38</v>
      </c>
      <c r="J354" s="6"/>
      <c r="K354" s="6"/>
      <c r="L354" s="6">
        <v>3</v>
      </c>
      <c r="M354" s="6">
        <v>4</v>
      </c>
      <c r="N354" s="6">
        <v>3</v>
      </c>
      <c r="O354" s="6"/>
      <c r="P354" s="7">
        <f t="shared" si="48"/>
        <v>1.3333333333333333</v>
      </c>
      <c r="Q354" s="6">
        <v>1</v>
      </c>
      <c r="R354" s="6">
        <v>38</v>
      </c>
      <c r="S354" s="7">
        <f t="shared" si="52"/>
        <v>38</v>
      </c>
      <c r="T354" s="6"/>
      <c r="Y354" s="11"/>
      <c r="AB354" s="11"/>
      <c r="AD354" s="6"/>
      <c r="AE354" s="8" t="s">
        <v>716</v>
      </c>
    </row>
    <row r="355" spans="1:31" x14ac:dyDescent="0.25">
      <c r="A355" s="6" t="s">
        <v>274</v>
      </c>
      <c r="B355" s="6">
        <v>16</v>
      </c>
      <c r="C355" s="6">
        <v>370</v>
      </c>
      <c r="D355" s="6">
        <v>17</v>
      </c>
      <c r="E355" s="6">
        <v>3</v>
      </c>
      <c r="F355" s="7">
        <f t="shared" si="46"/>
        <v>26.428571428571427</v>
      </c>
      <c r="G355" s="6">
        <v>3</v>
      </c>
      <c r="H355" s="6">
        <v>23</v>
      </c>
      <c r="I355" s="7">
        <f t="shared" si="47"/>
        <v>7.666666666666667</v>
      </c>
      <c r="J355" s="6"/>
      <c r="K355" s="6"/>
      <c r="L355" s="6"/>
      <c r="M355" s="6"/>
      <c r="N355" s="6"/>
      <c r="O355" s="6"/>
      <c r="P355" s="7"/>
      <c r="Q355" s="6"/>
      <c r="R355" s="6"/>
      <c r="S355" s="7"/>
      <c r="T355" s="6"/>
      <c r="Y355" s="11"/>
      <c r="AA355" s="6"/>
      <c r="AB355" s="11"/>
    </row>
    <row r="356" spans="1:31" x14ac:dyDescent="0.25">
      <c r="A356" s="6" t="s">
        <v>275</v>
      </c>
      <c r="B356" s="6">
        <v>36</v>
      </c>
      <c r="C356" s="6">
        <v>848</v>
      </c>
      <c r="D356" s="6">
        <v>39</v>
      </c>
      <c r="E356" s="6">
        <v>3</v>
      </c>
      <c r="F356" s="7">
        <f t="shared" si="46"/>
        <v>23.555555555555557</v>
      </c>
      <c r="G356" s="6">
        <v>1</v>
      </c>
      <c r="H356" s="6">
        <v>88</v>
      </c>
      <c r="I356" s="7">
        <f t="shared" si="47"/>
        <v>88</v>
      </c>
      <c r="J356" s="6"/>
      <c r="K356" s="6"/>
      <c r="L356" s="6">
        <v>1</v>
      </c>
      <c r="M356" s="6">
        <v>7</v>
      </c>
      <c r="N356" s="6">
        <v>1</v>
      </c>
      <c r="O356" s="6"/>
      <c r="P356" s="7">
        <f t="shared" si="48"/>
        <v>7</v>
      </c>
      <c r="Q356" s="6"/>
      <c r="R356" s="6"/>
      <c r="S356" s="7"/>
      <c r="T356" s="6"/>
      <c r="Y356" s="11"/>
      <c r="AB356" s="11"/>
      <c r="AD356" s="6"/>
      <c r="AE356" s="8" t="s">
        <v>276</v>
      </c>
    </row>
    <row r="357" spans="1:31" x14ac:dyDescent="0.25">
      <c r="A357" s="6" t="s">
        <v>277</v>
      </c>
      <c r="B357" s="6">
        <v>4</v>
      </c>
      <c r="C357" s="6">
        <v>59</v>
      </c>
      <c r="D357" s="6">
        <v>5</v>
      </c>
      <c r="E357" s="6"/>
      <c r="F357" s="7">
        <f t="shared" si="46"/>
        <v>11.8</v>
      </c>
      <c r="G357" s="6"/>
      <c r="H357" s="6">
        <v>8</v>
      </c>
      <c r="I357" s="7"/>
      <c r="J357" s="6"/>
      <c r="K357" s="6"/>
      <c r="L357" s="6"/>
      <c r="M357" s="6"/>
      <c r="N357" s="6"/>
      <c r="O357" s="6"/>
      <c r="P357" s="7"/>
      <c r="Q357" s="6"/>
      <c r="R357" s="6"/>
      <c r="S357" s="7"/>
      <c r="T357" s="6"/>
      <c r="Y357" s="11"/>
      <c r="AA357" s="6"/>
      <c r="AB357" s="11"/>
    </row>
    <row r="358" spans="1:31" x14ac:dyDescent="0.25">
      <c r="A358" s="6" t="s">
        <v>278</v>
      </c>
      <c r="B358" s="6">
        <v>11</v>
      </c>
      <c r="C358" s="6">
        <v>16</v>
      </c>
      <c r="D358" s="6">
        <v>10</v>
      </c>
      <c r="E358" s="6">
        <v>6</v>
      </c>
      <c r="F358" s="7">
        <f t="shared" si="46"/>
        <v>4</v>
      </c>
      <c r="G358" s="6">
        <v>21</v>
      </c>
      <c r="H358" s="6">
        <v>384</v>
      </c>
      <c r="I358" s="7">
        <f t="shared" si="47"/>
        <v>18.285714285714285</v>
      </c>
      <c r="J358" s="6"/>
      <c r="K358" s="6"/>
      <c r="L358" s="6"/>
      <c r="M358" s="6"/>
      <c r="N358" s="6"/>
      <c r="O358" s="6"/>
      <c r="P358" s="7"/>
      <c r="Q358" s="6"/>
      <c r="R358" s="6"/>
      <c r="S358" s="7"/>
      <c r="T358" s="6"/>
      <c r="Y358" s="11"/>
      <c r="AA358" s="6"/>
      <c r="AB358" s="11"/>
    </row>
    <row r="359" spans="1:31" x14ac:dyDescent="0.25">
      <c r="A359" s="6" t="s">
        <v>750</v>
      </c>
      <c r="B359" s="6">
        <v>57.5</v>
      </c>
      <c r="C359" s="6">
        <v>774</v>
      </c>
      <c r="D359" s="6">
        <v>57</v>
      </c>
      <c r="E359" s="6">
        <v>15</v>
      </c>
      <c r="F359" s="7">
        <f t="shared" si="46"/>
        <v>18.428571428571427</v>
      </c>
      <c r="G359" s="6">
        <v>95</v>
      </c>
      <c r="H359" s="6">
        <v>1816</v>
      </c>
      <c r="I359" s="7">
        <f t="shared" si="47"/>
        <v>19.11578947368421</v>
      </c>
      <c r="J359" s="6"/>
      <c r="K359" s="6"/>
      <c r="L359" s="6">
        <v>37</v>
      </c>
      <c r="M359" s="6">
        <v>467</v>
      </c>
      <c r="N359" s="6">
        <v>30</v>
      </c>
      <c r="O359" s="6">
        <v>8</v>
      </c>
      <c r="P359" s="7">
        <f t="shared" si="48"/>
        <v>21.227272727272727</v>
      </c>
      <c r="Q359" s="6">
        <v>56</v>
      </c>
      <c r="R359" s="6">
        <v>1098</v>
      </c>
      <c r="S359" s="7">
        <f t="shared" si="52"/>
        <v>19.607142857142858</v>
      </c>
      <c r="T359" s="6"/>
      <c r="U359" s="13">
        <v>2</v>
      </c>
      <c r="V359" s="13">
        <v>3</v>
      </c>
      <c r="W359" s="13">
        <v>2</v>
      </c>
      <c r="X359" s="13">
        <v>0</v>
      </c>
      <c r="Y359" s="11">
        <f t="shared" si="50"/>
        <v>1.5</v>
      </c>
      <c r="Z359" s="13"/>
      <c r="AA359" s="13">
        <v>27</v>
      </c>
      <c r="AB359" s="11"/>
      <c r="AC359" s="13"/>
      <c r="AD359" s="6"/>
      <c r="AE359" s="8" t="s">
        <v>970</v>
      </c>
    </row>
    <row r="360" spans="1:31" x14ac:dyDescent="0.25">
      <c r="A360" s="6" t="s">
        <v>279</v>
      </c>
      <c r="B360" s="6">
        <v>28</v>
      </c>
      <c r="C360" s="6">
        <v>397</v>
      </c>
      <c r="D360" s="6">
        <v>38</v>
      </c>
      <c r="E360" s="6">
        <v>4</v>
      </c>
      <c r="F360" s="7">
        <f t="shared" si="46"/>
        <v>11.676470588235293</v>
      </c>
      <c r="G360" s="6">
        <v>4</v>
      </c>
      <c r="H360" s="6">
        <v>205</v>
      </c>
      <c r="I360" s="7">
        <f t="shared" si="47"/>
        <v>51.25</v>
      </c>
      <c r="J360" s="6"/>
      <c r="K360" s="6"/>
      <c r="L360" s="6"/>
      <c r="M360" s="6"/>
      <c r="N360" s="6"/>
      <c r="O360" s="6"/>
      <c r="P360" s="7"/>
      <c r="Q360" s="6"/>
      <c r="R360" s="6"/>
      <c r="S360" s="7"/>
      <c r="T360" s="6"/>
      <c r="Y360" s="11"/>
      <c r="AA360" s="6"/>
      <c r="AB360" s="11"/>
    </row>
    <row r="361" spans="1:31" x14ac:dyDescent="0.25">
      <c r="A361" s="6" t="s">
        <v>280</v>
      </c>
      <c r="B361" s="6">
        <v>31</v>
      </c>
      <c r="C361" s="6">
        <v>475</v>
      </c>
      <c r="D361" s="6">
        <v>38</v>
      </c>
      <c r="E361" s="6">
        <v>1</v>
      </c>
      <c r="F361" s="7">
        <f t="shared" si="46"/>
        <v>12.837837837837839</v>
      </c>
      <c r="G361" s="6">
        <v>9</v>
      </c>
      <c r="H361" s="6">
        <v>192</v>
      </c>
      <c r="I361" s="7">
        <f t="shared" si="47"/>
        <v>21.333333333333332</v>
      </c>
      <c r="J361" s="6"/>
      <c r="K361" s="6"/>
      <c r="L361" s="6"/>
      <c r="M361" s="6"/>
      <c r="N361" s="6"/>
      <c r="O361" s="6"/>
      <c r="P361" s="7"/>
      <c r="Q361" s="6"/>
      <c r="R361" s="6"/>
      <c r="S361" s="7"/>
      <c r="T361" s="6"/>
      <c r="Y361" s="11"/>
      <c r="AA361" s="6"/>
      <c r="AB361" s="11"/>
    </row>
    <row r="362" spans="1:31" x14ac:dyDescent="0.25">
      <c r="A362" s="6" t="s">
        <v>281</v>
      </c>
      <c r="B362" s="6">
        <v>124</v>
      </c>
      <c r="C362" s="6">
        <v>2669</v>
      </c>
      <c r="D362" s="6">
        <v>140</v>
      </c>
      <c r="E362" s="6">
        <v>19</v>
      </c>
      <c r="F362" s="7">
        <f t="shared" si="46"/>
        <v>22.057851239669422</v>
      </c>
      <c r="G362" s="6">
        <v>129</v>
      </c>
      <c r="H362" s="6">
        <v>2117</v>
      </c>
      <c r="I362" s="7">
        <f t="shared" si="47"/>
        <v>16.410852713178294</v>
      </c>
      <c r="J362" s="6"/>
      <c r="K362" s="6"/>
      <c r="L362" s="6">
        <v>21</v>
      </c>
      <c r="M362" s="6">
        <v>436</v>
      </c>
      <c r="N362" s="6">
        <v>19</v>
      </c>
      <c r="O362" s="6">
        <v>2</v>
      </c>
      <c r="P362" s="7">
        <f t="shared" si="48"/>
        <v>25.647058823529413</v>
      </c>
      <c r="Q362" s="6">
        <v>21</v>
      </c>
      <c r="R362" s="6">
        <v>456</v>
      </c>
      <c r="S362" s="7">
        <f t="shared" si="52"/>
        <v>21.714285714285715</v>
      </c>
      <c r="T362" s="6"/>
      <c r="Y362" s="11"/>
      <c r="AB362" s="11"/>
      <c r="AD362" s="6"/>
      <c r="AE362" s="8" t="s">
        <v>751</v>
      </c>
    </row>
    <row r="363" spans="1:31" x14ac:dyDescent="0.25">
      <c r="A363" s="6" t="s">
        <v>282</v>
      </c>
      <c r="B363" s="6">
        <v>108</v>
      </c>
      <c r="C363" s="6">
        <v>1377</v>
      </c>
      <c r="D363" s="6">
        <v>87</v>
      </c>
      <c r="E363" s="6">
        <v>11</v>
      </c>
      <c r="F363" s="7">
        <f t="shared" si="46"/>
        <v>18.118421052631579</v>
      </c>
      <c r="G363" s="6">
        <v>81</v>
      </c>
      <c r="H363" s="6">
        <v>2067</v>
      </c>
      <c r="I363" s="7">
        <f t="shared" si="47"/>
        <v>25.518518518518519</v>
      </c>
      <c r="J363" s="6"/>
      <c r="K363" s="6"/>
      <c r="L363" s="6">
        <v>1</v>
      </c>
      <c r="M363" s="6">
        <v>3</v>
      </c>
      <c r="N363" s="6">
        <v>1</v>
      </c>
      <c r="O363" s="6"/>
      <c r="P363" s="7">
        <f t="shared" si="48"/>
        <v>3</v>
      </c>
      <c r="Q363" s="6">
        <v>3</v>
      </c>
      <c r="R363" s="6">
        <v>10</v>
      </c>
      <c r="S363" s="7">
        <f t="shared" si="52"/>
        <v>3.3333333333333335</v>
      </c>
      <c r="T363" s="6"/>
      <c r="Y363" s="11"/>
      <c r="AB363" s="11"/>
      <c r="AD363" s="6"/>
      <c r="AE363" s="8" t="s">
        <v>283</v>
      </c>
    </row>
    <row r="364" spans="1:31" x14ac:dyDescent="0.25">
      <c r="A364" s="6" t="s">
        <v>284</v>
      </c>
      <c r="B364" s="6">
        <v>42</v>
      </c>
      <c r="C364" s="6">
        <v>449</v>
      </c>
      <c r="D364" s="6">
        <v>50</v>
      </c>
      <c r="E364" s="6">
        <v>10</v>
      </c>
      <c r="F364" s="7">
        <f t="shared" si="46"/>
        <v>11.225</v>
      </c>
      <c r="G364" s="6">
        <v>19</v>
      </c>
      <c r="H364" s="6">
        <v>514</v>
      </c>
      <c r="I364" s="7">
        <f t="shared" si="47"/>
        <v>27.05263157894737</v>
      </c>
      <c r="J364" s="6"/>
      <c r="K364" s="6"/>
      <c r="L364" s="6"/>
      <c r="M364" s="6"/>
      <c r="N364" s="6"/>
      <c r="O364" s="6"/>
      <c r="P364" s="7"/>
      <c r="Q364" s="6"/>
      <c r="R364" s="6"/>
      <c r="S364" s="7"/>
      <c r="T364" s="6"/>
      <c r="Y364" s="11"/>
      <c r="AA364" s="6"/>
      <c r="AB364" s="11"/>
    </row>
    <row r="365" spans="1:31" x14ac:dyDescent="0.25">
      <c r="A365" s="6" t="s">
        <v>285</v>
      </c>
      <c r="B365" s="6">
        <v>17</v>
      </c>
      <c r="C365" s="6">
        <v>511</v>
      </c>
      <c r="D365" s="6">
        <v>21</v>
      </c>
      <c r="E365" s="6"/>
      <c r="F365" s="7">
        <f t="shared" si="46"/>
        <v>24.333333333333332</v>
      </c>
      <c r="G365" s="6">
        <v>4</v>
      </c>
      <c r="H365" s="6">
        <v>80</v>
      </c>
      <c r="I365" s="7">
        <f t="shared" si="47"/>
        <v>20</v>
      </c>
      <c r="J365" s="6"/>
      <c r="K365" s="6"/>
      <c r="L365" s="6"/>
      <c r="M365" s="6"/>
      <c r="N365" s="6"/>
      <c r="O365" s="6"/>
      <c r="P365" s="7"/>
      <c r="Q365" s="6"/>
      <c r="R365" s="6"/>
      <c r="S365" s="7"/>
      <c r="T365" s="6"/>
      <c r="Y365" s="11"/>
      <c r="AA365" s="6"/>
      <c r="AB365" s="11"/>
    </row>
    <row r="366" spans="1:31" x14ac:dyDescent="0.25">
      <c r="A366" s="6" t="s">
        <v>286</v>
      </c>
      <c r="B366" s="14">
        <v>223</v>
      </c>
      <c r="C366" s="6">
        <v>3018</v>
      </c>
      <c r="D366" s="6">
        <v>204</v>
      </c>
      <c r="E366" s="6">
        <v>51</v>
      </c>
      <c r="F366" s="7">
        <f t="shared" si="46"/>
        <v>19.725490196078432</v>
      </c>
      <c r="G366" s="6">
        <v>58</v>
      </c>
      <c r="H366" s="6">
        <v>1710</v>
      </c>
      <c r="I366" s="7">
        <f t="shared" si="47"/>
        <v>29.482758620689655</v>
      </c>
      <c r="J366" s="6"/>
      <c r="K366" s="6"/>
      <c r="L366" s="6">
        <v>4</v>
      </c>
      <c r="M366" s="6">
        <v>121</v>
      </c>
      <c r="N366" s="6">
        <v>4</v>
      </c>
      <c r="O366" s="6">
        <v>2</v>
      </c>
      <c r="P366" s="7">
        <f t="shared" si="48"/>
        <v>60.5</v>
      </c>
      <c r="Q366" s="14">
        <v>2</v>
      </c>
      <c r="R366" s="6">
        <v>42</v>
      </c>
      <c r="S366" s="7">
        <f t="shared" si="52"/>
        <v>21</v>
      </c>
      <c r="T366" s="6"/>
      <c r="U366" s="6">
        <v>30</v>
      </c>
      <c r="V366" s="6">
        <v>82</v>
      </c>
      <c r="W366" s="6">
        <v>16</v>
      </c>
      <c r="X366" s="6">
        <v>7</v>
      </c>
      <c r="Y366" s="11">
        <f t="shared" si="50"/>
        <v>9.1111111111111107</v>
      </c>
      <c r="Z366" s="6">
        <v>13</v>
      </c>
      <c r="AA366" s="6">
        <v>230</v>
      </c>
      <c r="AB366" s="11">
        <f t="shared" si="53"/>
        <v>17.692307692307693</v>
      </c>
      <c r="AC366" s="13"/>
      <c r="AD366" s="6"/>
      <c r="AE366" s="8" t="s">
        <v>1141</v>
      </c>
    </row>
    <row r="367" spans="1:31" x14ac:dyDescent="0.25">
      <c r="A367" s="6" t="s">
        <v>287</v>
      </c>
      <c r="B367" s="6">
        <v>38</v>
      </c>
      <c r="C367" s="6">
        <v>769</v>
      </c>
      <c r="D367" s="6">
        <v>34</v>
      </c>
      <c r="E367" s="6">
        <v>10</v>
      </c>
      <c r="F367" s="7">
        <f t="shared" si="46"/>
        <v>32.041666666666664</v>
      </c>
      <c r="G367" s="6">
        <v>20</v>
      </c>
      <c r="H367" s="6">
        <v>454</v>
      </c>
      <c r="I367" s="7">
        <f t="shared" si="47"/>
        <v>22.7</v>
      </c>
      <c r="J367" s="6"/>
      <c r="K367" s="6"/>
      <c r="L367" s="6"/>
      <c r="M367" s="6"/>
      <c r="N367" s="6"/>
      <c r="O367" s="6"/>
      <c r="P367" s="7"/>
      <c r="Q367" s="6"/>
      <c r="R367" s="6"/>
      <c r="S367" s="7"/>
      <c r="T367" s="6"/>
      <c r="Y367" s="11"/>
      <c r="AA367" s="6"/>
      <c r="AB367" s="11"/>
    </row>
    <row r="368" spans="1:31" x14ac:dyDescent="0.25">
      <c r="A368" s="6" t="s">
        <v>288</v>
      </c>
      <c r="B368" s="6">
        <v>47</v>
      </c>
      <c r="C368" s="6">
        <v>1076</v>
      </c>
      <c r="D368" s="6">
        <v>49</v>
      </c>
      <c r="E368" s="6">
        <v>13</v>
      </c>
      <c r="F368" s="7">
        <f t="shared" si="46"/>
        <v>29.888888888888889</v>
      </c>
      <c r="G368" s="6">
        <v>17</v>
      </c>
      <c r="H368" s="6">
        <v>274</v>
      </c>
      <c r="I368" s="7">
        <f t="shared" si="47"/>
        <v>16.117647058823529</v>
      </c>
      <c r="J368" s="6"/>
      <c r="K368" s="6"/>
      <c r="L368" s="6"/>
      <c r="M368" s="6"/>
      <c r="N368" s="6"/>
      <c r="O368" s="6"/>
      <c r="P368" s="7"/>
      <c r="Q368" s="6"/>
      <c r="R368" s="6"/>
      <c r="S368" s="7"/>
      <c r="T368" s="6"/>
      <c r="Y368" s="11"/>
      <c r="AA368" s="6"/>
      <c r="AB368" s="11"/>
    </row>
    <row r="369" spans="1:31" x14ac:dyDescent="0.25">
      <c r="A369" s="6" t="s">
        <v>289</v>
      </c>
      <c r="B369" s="6">
        <v>2</v>
      </c>
      <c r="C369" s="6">
        <v>7</v>
      </c>
      <c r="D369" s="6">
        <v>3</v>
      </c>
      <c r="E369" s="6"/>
      <c r="F369" s="7">
        <f t="shared" si="46"/>
        <v>2.3333333333333335</v>
      </c>
      <c r="G369" s="6"/>
      <c r="H369" s="6"/>
      <c r="I369" s="7"/>
      <c r="J369" s="6"/>
      <c r="K369" s="6"/>
      <c r="L369" s="6"/>
      <c r="M369" s="6"/>
      <c r="N369" s="6"/>
      <c r="O369" s="6"/>
      <c r="P369" s="7"/>
      <c r="Q369" s="6"/>
      <c r="R369" s="6"/>
      <c r="S369" s="7"/>
      <c r="T369" s="6"/>
      <c r="Y369" s="11"/>
      <c r="AA369" s="6"/>
      <c r="AB369" s="11"/>
    </row>
    <row r="370" spans="1:31" x14ac:dyDescent="0.25">
      <c r="A370" s="6" t="s">
        <v>290</v>
      </c>
      <c r="B370" s="6">
        <v>1</v>
      </c>
      <c r="C370" s="6">
        <v>18</v>
      </c>
      <c r="D370" s="6">
        <v>1</v>
      </c>
      <c r="E370" s="6"/>
      <c r="F370" s="7">
        <f t="shared" ref="F370:F484" si="54">(C370/(D370-E370))</f>
        <v>18</v>
      </c>
      <c r="G370" s="6"/>
      <c r="H370" s="6"/>
      <c r="I370" s="7"/>
      <c r="J370" s="6"/>
      <c r="K370" s="6"/>
      <c r="L370" s="6"/>
      <c r="M370" s="6"/>
      <c r="N370" s="6"/>
      <c r="O370" s="6"/>
      <c r="P370" s="7"/>
      <c r="Q370" s="6"/>
      <c r="R370" s="6"/>
      <c r="S370" s="7"/>
      <c r="T370" s="6"/>
      <c r="Y370" s="11"/>
      <c r="AA370" s="6"/>
      <c r="AB370" s="11"/>
    </row>
    <row r="371" spans="1:31" x14ac:dyDescent="0.25">
      <c r="A371" s="6" t="s">
        <v>662</v>
      </c>
      <c r="B371" s="11">
        <v>111.5</v>
      </c>
      <c r="C371" s="6">
        <v>863</v>
      </c>
      <c r="D371" s="6">
        <v>90</v>
      </c>
      <c r="E371" s="6">
        <v>23</v>
      </c>
      <c r="F371" s="7">
        <f t="shared" si="54"/>
        <v>12.880597014925373</v>
      </c>
      <c r="G371" s="6">
        <v>175</v>
      </c>
      <c r="H371" s="6">
        <v>4322</v>
      </c>
      <c r="I371" s="7">
        <f t="shared" ref="I371:I485" si="55">(H371/G371)</f>
        <v>24.697142857142858</v>
      </c>
      <c r="J371" s="6"/>
      <c r="K371" s="6"/>
      <c r="L371" s="6">
        <v>6</v>
      </c>
      <c r="M371" s="6">
        <v>36</v>
      </c>
      <c r="N371" s="6">
        <v>4</v>
      </c>
      <c r="O371" s="6">
        <v>2</v>
      </c>
      <c r="P371" s="7">
        <f t="shared" si="48"/>
        <v>18</v>
      </c>
      <c r="Q371" s="14">
        <v>7</v>
      </c>
      <c r="R371" s="6">
        <v>180</v>
      </c>
      <c r="S371" s="7">
        <f t="shared" si="52"/>
        <v>25.714285714285715</v>
      </c>
      <c r="T371" s="6"/>
      <c r="Y371" s="11"/>
      <c r="AB371" s="11"/>
      <c r="AD371" s="6"/>
      <c r="AE371" s="8" t="s">
        <v>817</v>
      </c>
    </row>
    <row r="372" spans="1:31" x14ac:dyDescent="0.25">
      <c r="A372" s="6" t="s">
        <v>663</v>
      </c>
      <c r="B372" s="6">
        <v>15.5</v>
      </c>
      <c r="C372" s="6">
        <v>40</v>
      </c>
      <c r="D372" s="6">
        <v>11</v>
      </c>
      <c r="E372" s="6">
        <v>3</v>
      </c>
      <c r="F372" s="7">
        <f t="shared" si="54"/>
        <v>5</v>
      </c>
      <c r="G372" s="6">
        <v>14</v>
      </c>
      <c r="H372" s="6">
        <v>228</v>
      </c>
      <c r="I372" s="7">
        <f t="shared" si="55"/>
        <v>16.285714285714285</v>
      </c>
      <c r="J372" s="6"/>
      <c r="K372" s="6"/>
      <c r="L372" s="6">
        <v>13</v>
      </c>
      <c r="M372" s="6">
        <v>34</v>
      </c>
      <c r="N372" s="6">
        <v>9</v>
      </c>
      <c r="O372" s="6">
        <v>3</v>
      </c>
      <c r="P372" s="7">
        <f t="shared" si="48"/>
        <v>5.666666666666667</v>
      </c>
      <c r="Q372" s="14">
        <v>14</v>
      </c>
      <c r="R372" s="6">
        <v>228</v>
      </c>
      <c r="S372" s="7">
        <f t="shared" si="52"/>
        <v>16.285714285714285</v>
      </c>
      <c r="T372" s="6"/>
      <c r="Y372" s="11"/>
      <c r="AB372" s="11"/>
      <c r="AD372" s="6"/>
      <c r="AE372" s="8" t="s">
        <v>727</v>
      </c>
    </row>
    <row r="373" spans="1:31" x14ac:dyDescent="0.25">
      <c r="A373" s="6" t="s">
        <v>291</v>
      </c>
      <c r="B373" s="6">
        <v>1</v>
      </c>
      <c r="C373" s="6">
        <v>2</v>
      </c>
      <c r="D373" s="6">
        <v>1</v>
      </c>
      <c r="E373" s="6"/>
      <c r="F373" s="7">
        <f t="shared" si="54"/>
        <v>2</v>
      </c>
      <c r="G373" s="6"/>
      <c r="H373" s="6"/>
      <c r="I373" s="7"/>
      <c r="J373" s="6"/>
      <c r="K373" s="6"/>
      <c r="L373" s="6"/>
      <c r="M373" s="6"/>
      <c r="N373" s="6"/>
      <c r="O373" s="6"/>
      <c r="P373" s="7"/>
      <c r="Q373" s="6"/>
      <c r="R373" s="6"/>
      <c r="S373" s="7"/>
      <c r="T373" s="6"/>
      <c r="Y373" s="11"/>
      <c r="AA373" s="6"/>
      <c r="AB373" s="11"/>
    </row>
    <row r="374" spans="1:31" x14ac:dyDescent="0.25">
      <c r="A374" s="6" t="s">
        <v>292</v>
      </c>
      <c r="B374" s="6">
        <v>3</v>
      </c>
      <c r="C374" s="6">
        <v>170</v>
      </c>
      <c r="D374" s="6">
        <v>3</v>
      </c>
      <c r="E374" s="6"/>
      <c r="F374" s="7">
        <f t="shared" si="54"/>
        <v>56.666666666666664</v>
      </c>
      <c r="G374" s="6"/>
      <c r="H374" s="6">
        <v>29</v>
      </c>
      <c r="I374" s="7"/>
      <c r="J374" s="6"/>
      <c r="K374" s="6"/>
      <c r="L374" s="6"/>
      <c r="M374" s="6"/>
      <c r="N374" s="6"/>
      <c r="O374" s="6"/>
      <c r="P374" s="7"/>
      <c r="Q374" s="6"/>
      <c r="R374" s="6"/>
      <c r="S374" s="7"/>
      <c r="T374" s="6"/>
      <c r="Y374" s="11"/>
      <c r="AA374" s="6"/>
      <c r="AB374" s="11"/>
    </row>
    <row r="375" spans="1:31" x14ac:dyDescent="0.25">
      <c r="A375" s="6" t="s">
        <v>293</v>
      </c>
      <c r="B375" s="6">
        <v>1</v>
      </c>
      <c r="C375" s="6">
        <v>6</v>
      </c>
      <c r="D375" s="6">
        <v>1</v>
      </c>
      <c r="E375" s="6"/>
      <c r="F375" s="7">
        <f t="shared" si="54"/>
        <v>6</v>
      </c>
      <c r="G375" s="6"/>
      <c r="H375" s="6"/>
      <c r="I375" s="7"/>
      <c r="J375" s="6"/>
      <c r="K375" s="6"/>
      <c r="L375" s="6"/>
      <c r="M375" s="6"/>
      <c r="N375" s="6"/>
      <c r="O375" s="6"/>
      <c r="P375" s="7"/>
      <c r="Q375" s="6"/>
      <c r="R375" s="6"/>
      <c r="S375" s="7"/>
      <c r="T375" s="6"/>
      <c r="Y375" s="11"/>
      <c r="AA375" s="6"/>
      <c r="AB375" s="11"/>
    </row>
    <row r="376" spans="1:31" x14ac:dyDescent="0.25">
      <c r="A376" s="6" t="s">
        <v>294</v>
      </c>
      <c r="B376" s="6">
        <v>88</v>
      </c>
      <c r="C376" s="6">
        <v>1494</v>
      </c>
      <c r="D376" s="6">
        <v>89</v>
      </c>
      <c r="E376" s="6">
        <v>21</v>
      </c>
      <c r="F376" s="7">
        <f t="shared" si="54"/>
        <v>21.970588235294116</v>
      </c>
      <c r="G376" s="6"/>
      <c r="H376" s="6"/>
      <c r="I376" s="7"/>
      <c r="J376" s="6"/>
      <c r="K376" s="6"/>
      <c r="L376" s="6"/>
      <c r="M376" s="6"/>
      <c r="N376" s="6"/>
      <c r="O376" s="6"/>
      <c r="P376" s="7"/>
      <c r="Q376" s="6"/>
      <c r="R376" s="6"/>
      <c r="S376" s="7"/>
      <c r="T376" s="6"/>
      <c r="Y376" s="11"/>
      <c r="AA376" s="6"/>
      <c r="AB376" s="11"/>
    </row>
    <row r="377" spans="1:31" x14ac:dyDescent="0.25">
      <c r="A377" s="6" t="s">
        <v>295</v>
      </c>
      <c r="B377" s="6">
        <v>15</v>
      </c>
      <c r="C377" s="6">
        <v>121</v>
      </c>
      <c r="D377" s="6">
        <v>18</v>
      </c>
      <c r="E377" s="6"/>
      <c r="F377" s="7">
        <f t="shared" si="54"/>
        <v>6.7222222222222223</v>
      </c>
      <c r="G377" s="6">
        <v>7</v>
      </c>
      <c r="H377" s="6">
        <v>364</v>
      </c>
      <c r="I377" s="7">
        <f t="shared" si="55"/>
        <v>52</v>
      </c>
      <c r="J377" s="6"/>
      <c r="K377" s="6"/>
      <c r="L377" s="6"/>
      <c r="M377" s="6"/>
      <c r="N377" s="6"/>
      <c r="O377" s="6"/>
      <c r="P377" s="7"/>
      <c r="Q377" s="6"/>
      <c r="R377" s="6"/>
      <c r="S377" s="7"/>
      <c r="T377" s="6"/>
      <c r="Y377" s="11"/>
      <c r="AA377" s="6"/>
      <c r="AB377" s="11"/>
    </row>
    <row r="378" spans="1:31" x14ac:dyDescent="0.25">
      <c r="A378" s="6" t="s">
        <v>728</v>
      </c>
      <c r="B378" s="6">
        <v>9.5</v>
      </c>
      <c r="C378" s="6">
        <v>35</v>
      </c>
      <c r="D378" s="6">
        <v>7</v>
      </c>
      <c r="E378" s="6">
        <v>3</v>
      </c>
      <c r="F378" s="7">
        <f t="shared" si="54"/>
        <v>8.75</v>
      </c>
      <c r="G378" s="6">
        <v>8</v>
      </c>
      <c r="H378" s="6">
        <v>351</v>
      </c>
      <c r="I378" s="7">
        <f t="shared" si="55"/>
        <v>43.875</v>
      </c>
      <c r="J378" s="6"/>
      <c r="K378" s="6"/>
      <c r="L378" s="6">
        <v>15</v>
      </c>
      <c r="M378" s="6">
        <v>35</v>
      </c>
      <c r="N378" s="6">
        <v>7</v>
      </c>
      <c r="O378" s="6">
        <v>3</v>
      </c>
      <c r="P378" s="7">
        <f t="shared" si="48"/>
        <v>8.75</v>
      </c>
      <c r="Q378" s="6">
        <v>8</v>
      </c>
      <c r="R378" s="6">
        <v>351</v>
      </c>
      <c r="S378" s="7">
        <f t="shared" ref="S378:S394" si="56">(R378/Q378)</f>
        <v>43.875</v>
      </c>
      <c r="T378" s="6"/>
      <c r="Y378" s="11"/>
      <c r="AB378" s="11"/>
      <c r="AD378" s="6"/>
      <c r="AE378" s="8" t="s">
        <v>333</v>
      </c>
    </row>
    <row r="379" spans="1:31" x14ac:dyDescent="0.25">
      <c r="A379" s="6" t="s">
        <v>296</v>
      </c>
      <c r="B379" s="6">
        <v>20</v>
      </c>
      <c r="C379" s="6">
        <v>75</v>
      </c>
      <c r="D379" s="6">
        <v>15</v>
      </c>
      <c r="E379" s="6">
        <v>2</v>
      </c>
      <c r="F379" s="7">
        <f t="shared" si="54"/>
        <v>5.7692307692307692</v>
      </c>
      <c r="G379" s="6">
        <v>39</v>
      </c>
      <c r="H379" s="6">
        <v>743</v>
      </c>
      <c r="I379" s="7">
        <f t="shared" si="55"/>
        <v>19.051282051282051</v>
      </c>
      <c r="J379" s="6"/>
      <c r="K379" s="6"/>
      <c r="L379" s="6">
        <v>1</v>
      </c>
      <c r="M379" s="6"/>
      <c r="N379" s="6">
        <v>1</v>
      </c>
      <c r="O379" s="6"/>
      <c r="P379" s="7">
        <f t="shared" si="48"/>
        <v>0</v>
      </c>
      <c r="Q379" s="6"/>
      <c r="R379" s="6">
        <v>27</v>
      </c>
      <c r="S379" s="7"/>
      <c r="T379" s="6"/>
      <c r="Y379" s="11"/>
      <c r="AB379" s="11"/>
      <c r="AD379" s="6"/>
      <c r="AE379" s="8" t="s">
        <v>885</v>
      </c>
    </row>
    <row r="380" spans="1:31" x14ac:dyDescent="0.25">
      <c r="A380" s="6" t="s">
        <v>297</v>
      </c>
      <c r="B380" s="6">
        <v>6</v>
      </c>
      <c r="C380" s="6">
        <v>70</v>
      </c>
      <c r="D380" s="6">
        <v>12</v>
      </c>
      <c r="E380" s="6">
        <v>2</v>
      </c>
      <c r="F380" s="7">
        <f t="shared" si="54"/>
        <v>7</v>
      </c>
      <c r="G380" s="6"/>
      <c r="H380" s="6">
        <v>18</v>
      </c>
      <c r="I380" s="7"/>
      <c r="J380" s="6"/>
      <c r="K380" s="6"/>
      <c r="L380" s="6"/>
      <c r="M380" s="6"/>
      <c r="N380" s="6"/>
      <c r="O380" s="6"/>
      <c r="P380" s="7"/>
      <c r="Q380" s="6"/>
      <c r="R380" s="6"/>
      <c r="S380" s="7"/>
      <c r="T380" s="6"/>
      <c r="Y380" s="11"/>
      <c r="AA380" s="6"/>
      <c r="AB380" s="11"/>
    </row>
    <row r="381" spans="1:31" x14ac:dyDescent="0.25">
      <c r="A381" s="6" t="s">
        <v>298</v>
      </c>
      <c r="B381" s="6">
        <v>17</v>
      </c>
      <c r="C381" s="6">
        <v>47</v>
      </c>
      <c r="D381" s="6">
        <v>11</v>
      </c>
      <c r="E381" s="6">
        <v>3</v>
      </c>
      <c r="F381" s="7">
        <f t="shared" si="54"/>
        <v>5.875</v>
      </c>
      <c r="G381" s="6">
        <v>1</v>
      </c>
      <c r="H381" s="6">
        <v>25</v>
      </c>
      <c r="I381" s="7">
        <f t="shared" si="55"/>
        <v>25</v>
      </c>
      <c r="J381" s="6"/>
      <c r="K381" s="6"/>
      <c r="L381" s="6"/>
      <c r="M381" s="6"/>
      <c r="N381" s="6"/>
      <c r="O381" s="6"/>
      <c r="P381" s="7"/>
      <c r="Q381" s="6"/>
      <c r="R381" s="6"/>
      <c r="S381" s="7"/>
      <c r="T381" s="6"/>
      <c r="Y381" s="11"/>
      <c r="AA381" s="6"/>
      <c r="AB381" s="11"/>
    </row>
    <row r="382" spans="1:31" x14ac:dyDescent="0.25">
      <c r="A382" s="6" t="s">
        <v>623</v>
      </c>
      <c r="B382" s="6">
        <v>15</v>
      </c>
      <c r="C382" s="6">
        <v>317</v>
      </c>
      <c r="D382" s="6">
        <v>17</v>
      </c>
      <c r="E382" s="6"/>
      <c r="F382" s="7">
        <f t="shared" si="54"/>
        <v>18.647058823529413</v>
      </c>
      <c r="G382" s="6">
        <v>3</v>
      </c>
      <c r="H382" s="6">
        <v>14</v>
      </c>
      <c r="I382" s="7">
        <f t="shared" si="55"/>
        <v>4.666666666666667</v>
      </c>
      <c r="J382" s="6"/>
      <c r="K382" s="6"/>
      <c r="L382" s="6"/>
      <c r="M382" s="6"/>
      <c r="N382" s="6"/>
      <c r="O382" s="6"/>
      <c r="P382" s="7"/>
      <c r="Q382" s="6"/>
      <c r="R382" s="6"/>
      <c r="S382" s="7"/>
      <c r="T382" s="6"/>
      <c r="Y382" s="11"/>
      <c r="AA382" s="6"/>
      <c r="AB382" s="11"/>
    </row>
    <row r="383" spans="1:31" x14ac:dyDescent="0.25">
      <c r="A383" s="6" t="s">
        <v>299</v>
      </c>
      <c r="B383" s="6">
        <v>2</v>
      </c>
      <c r="C383" s="6">
        <v>50</v>
      </c>
      <c r="D383" s="6">
        <v>1</v>
      </c>
      <c r="E383" s="6"/>
      <c r="F383" s="7">
        <f t="shared" si="54"/>
        <v>50</v>
      </c>
      <c r="G383" s="6"/>
      <c r="H383" s="6">
        <v>14</v>
      </c>
      <c r="I383" s="7"/>
      <c r="J383" s="6"/>
      <c r="K383" s="6"/>
      <c r="L383" s="6">
        <v>2</v>
      </c>
      <c r="M383" s="6">
        <v>50</v>
      </c>
      <c r="N383" s="6">
        <v>1</v>
      </c>
      <c r="O383" s="6"/>
      <c r="P383" s="7">
        <f t="shared" ref="P383:P498" si="57">(M383/(N383-O383))</f>
        <v>50</v>
      </c>
      <c r="Q383" s="6"/>
      <c r="R383" s="6">
        <v>14</v>
      </c>
      <c r="S383" s="7"/>
      <c r="T383" s="6"/>
      <c r="Y383" s="11"/>
      <c r="AB383" s="11"/>
      <c r="AD383" s="6"/>
      <c r="AE383" s="8" t="s">
        <v>41</v>
      </c>
    </row>
    <row r="384" spans="1:31" x14ac:dyDescent="0.25">
      <c r="A384" s="6" t="s">
        <v>300</v>
      </c>
      <c r="B384" s="6">
        <v>109</v>
      </c>
      <c r="C384" s="6">
        <v>3182</v>
      </c>
      <c r="D384" s="6">
        <v>122</v>
      </c>
      <c r="E384" s="6">
        <v>36</v>
      </c>
      <c r="F384" s="7">
        <f t="shared" si="54"/>
        <v>37</v>
      </c>
      <c r="G384" s="6">
        <v>115</v>
      </c>
      <c r="H384" s="6">
        <v>1791</v>
      </c>
      <c r="I384" s="7">
        <f t="shared" si="55"/>
        <v>15.57391304347826</v>
      </c>
      <c r="J384" s="6"/>
      <c r="K384" s="6"/>
      <c r="L384" s="6">
        <v>106</v>
      </c>
      <c r="M384" s="6">
        <v>1895</v>
      </c>
      <c r="N384" s="6">
        <v>81</v>
      </c>
      <c r="O384" s="6">
        <v>25</v>
      </c>
      <c r="P384" s="7">
        <f t="shared" si="57"/>
        <v>33.839285714285715</v>
      </c>
      <c r="Q384" s="6">
        <v>103</v>
      </c>
      <c r="R384" s="6">
        <v>1599</v>
      </c>
      <c r="S384" s="7">
        <f t="shared" si="56"/>
        <v>15.524271844660195</v>
      </c>
      <c r="T384" s="6"/>
      <c r="Y384" s="11"/>
      <c r="AB384" s="11"/>
      <c r="AD384" s="6"/>
      <c r="AE384" s="8" t="s">
        <v>699</v>
      </c>
    </row>
    <row r="385" spans="1:31" x14ac:dyDescent="0.25">
      <c r="A385" s="6" t="s">
        <v>301</v>
      </c>
      <c r="B385" s="6">
        <v>10</v>
      </c>
      <c r="C385" s="6">
        <v>142</v>
      </c>
      <c r="D385" s="6">
        <v>9</v>
      </c>
      <c r="E385" s="6">
        <v>3</v>
      </c>
      <c r="F385" s="7">
        <f t="shared" si="54"/>
        <v>23.666666666666668</v>
      </c>
      <c r="G385" s="6">
        <v>9</v>
      </c>
      <c r="H385" s="6">
        <v>232</v>
      </c>
      <c r="I385" s="7">
        <f t="shared" si="55"/>
        <v>25.777777777777779</v>
      </c>
      <c r="J385" s="6"/>
      <c r="K385" s="6"/>
      <c r="L385" s="6">
        <v>2</v>
      </c>
      <c r="M385" s="6">
        <v>34</v>
      </c>
      <c r="N385" s="6">
        <v>2</v>
      </c>
      <c r="O385" s="6">
        <v>1</v>
      </c>
      <c r="P385" s="7">
        <f t="shared" si="57"/>
        <v>34</v>
      </c>
      <c r="Q385" s="6"/>
      <c r="R385" s="6"/>
      <c r="S385" s="7"/>
      <c r="T385" s="6"/>
      <c r="Y385" s="11"/>
      <c r="AB385" s="11"/>
      <c r="AD385" s="6"/>
      <c r="AE385" s="8" t="s">
        <v>271</v>
      </c>
    </row>
    <row r="386" spans="1:31" x14ac:dyDescent="0.25">
      <c r="A386" s="6" t="s">
        <v>700</v>
      </c>
      <c r="B386" s="6">
        <v>1</v>
      </c>
      <c r="C386" s="6"/>
      <c r="D386" s="6">
        <v>1</v>
      </c>
      <c r="E386" s="6"/>
      <c r="F386" s="7"/>
      <c r="G386" s="6"/>
      <c r="H386" s="6"/>
      <c r="I386" s="7"/>
      <c r="J386" s="6"/>
      <c r="K386" s="6"/>
      <c r="L386" s="6"/>
      <c r="M386" s="6"/>
      <c r="N386" s="6"/>
      <c r="O386" s="6"/>
      <c r="P386" s="7"/>
      <c r="Q386" s="6"/>
      <c r="R386" s="6"/>
      <c r="S386" s="7"/>
      <c r="T386" s="6"/>
      <c r="Y386" s="11"/>
      <c r="AA386" s="6"/>
      <c r="AB386" s="11"/>
    </row>
    <row r="387" spans="1:31" x14ac:dyDescent="0.25">
      <c r="A387" s="6" t="s">
        <v>302</v>
      </c>
      <c r="B387" s="6">
        <v>65</v>
      </c>
      <c r="C387" s="6">
        <v>941</v>
      </c>
      <c r="D387" s="6">
        <v>65</v>
      </c>
      <c r="E387" s="6">
        <v>7</v>
      </c>
      <c r="F387" s="7">
        <f t="shared" si="54"/>
        <v>16.224137931034484</v>
      </c>
      <c r="G387" s="6">
        <v>94</v>
      </c>
      <c r="H387" s="6">
        <v>1511</v>
      </c>
      <c r="I387" s="7">
        <f t="shared" si="55"/>
        <v>16.074468085106382</v>
      </c>
      <c r="J387" s="6"/>
      <c r="K387" s="6"/>
      <c r="L387" s="6"/>
      <c r="M387" s="6"/>
      <c r="N387" s="6"/>
      <c r="O387" s="6"/>
      <c r="P387" s="7"/>
      <c r="Q387" s="6"/>
      <c r="R387" s="6"/>
      <c r="S387" s="7"/>
      <c r="T387" s="6"/>
      <c r="Y387" s="11"/>
      <c r="AA387" s="6"/>
      <c r="AB387" s="11"/>
    </row>
    <row r="388" spans="1:31" x14ac:dyDescent="0.25">
      <c r="A388" s="6" t="s">
        <v>303</v>
      </c>
      <c r="B388" s="6">
        <v>4</v>
      </c>
      <c r="C388" s="6">
        <v>13</v>
      </c>
      <c r="D388" s="6">
        <v>3</v>
      </c>
      <c r="E388" s="6">
        <v>1</v>
      </c>
      <c r="F388" s="7">
        <f t="shared" si="54"/>
        <v>6.5</v>
      </c>
      <c r="G388" s="6">
        <v>7</v>
      </c>
      <c r="H388" s="6">
        <v>79</v>
      </c>
      <c r="I388" s="7">
        <f t="shared" si="55"/>
        <v>11.285714285714286</v>
      </c>
      <c r="J388" s="6"/>
      <c r="K388" s="6"/>
      <c r="L388" s="6"/>
      <c r="M388" s="6"/>
      <c r="N388" s="6"/>
      <c r="O388" s="6"/>
      <c r="P388" s="7"/>
      <c r="Q388" s="6"/>
      <c r="R388" s="6"/>
      <c r="S388" s="7"/>
      <c r="T388" s="6"/>
      <c r="Y388" s="11"/>
      <c r="AA388" s="6"/>
      <c r="AB388" s="11"/>
    </row>
    <row r="389" spans="1:31" x14ac:dyDescent="0.25">
      <c r="A389" s="6" t="s">
        <v>665</v>
      </c>
      <c r="B389" s="6">
        <v>10</v>
      </c>
      <c r="C389" s="6">
        <v>37</v>
      </c>
      <c r="D389" s="6">
        <v>7</v>
      </c>
      <c r="E389" s="6">
        <v>1</v>
      </c>
      <c r="F389" s="7">
        <f t="shared" si="54"/>
        <v>6.166666666666667</v>
      </c>
      <c r="G389" s="6">
        <v>9</v>
      </c>
      <c r="H389" s="6">
        <v>155</v>
      </c>
      <c r="I389" s="7">
        <f t="shared" si="55"/>
        <v>17.222222222222221</v>
      </c>
      <c r="J389" s="6"/>
      <c r="K389" s="6"/>
      <c r="L389" s="6">
        <v>2</v>
      </c>
      <c r="M389" s="6">
        <v>16</v>
      </c>
      <c r="N389" s="6">
        <v>2</v>
      </c>
      <c r="O389" s="6"/>
      <c r="P389" s="7">
        <f t="shared" si="57"/>
        <v>8</v>
      </c>
      <c r="Q389" s="6"/>
      <c r="R389" s="6"/>
      <c r="S389" s="7"/>
      <c r="T389" s="6"/>
      <c r="Y389" s="11"/>
      <c r="AB389" s="11"/>
      <c r="AD389" s="6"/>
      <c r="AE389" s="8" t="s">
        <v>271</v>
      </c>
    </row>
    <row r="390" spans="1:31" x14ac:dyDescent="0.25">
      <c r="A390" s="6" t="s">
        <v>304</v>
      </c>
      <c r="B390" s="6">
        <v>2</v>
      </c>
      <c r="C390" s="6">
        <v>5</v>
      </c>
      <c r="D390" s="6">
        <v>2</v>
      </c>
      <c r="E390" s="6"/>
      <c r="F390" s="7">
        <f t="shared" si="54"/>
        <v>2.5</v>
      </c>
      <c r="G390" s="6"/>
      <c r="H390" s="6"/>
      <c r="I390" s="7"/>
      <c r="J390" s="6"/>
      <c r="K390" s="6"/>
      <c r="L390" s="6"/>
      <c r="M390" s="6"/>
      <c r="N390" s="6"/>
      <c r="O390" s="6"/>
      <c r="P390" s="7"/>
      <c r="Q390" s="6"/>
      <c r="R390" s="6"/>
      <c r="S390" s="7"/>
      <c r="T390" s="6"/>
      <c r="Y390" s="11"/>
      <c r="AA390" s="6"/>
      <c r="AB390" s="11"/>
    </row>
    <row r="391" spans="1:31" x14ac:dyDescent="0.25">
      <c r="A391" s="6" t="s">
        <v>305</v>
      </c>
      <c r="B391" s="6">
        <v>15</v>
      </c>
      <c r="C391" s="6">
        <v>534</v>
      </c>
      <c r="D391" s="6">
        <v>21</v>
      </c>
      <c r="E391" s="6">
        <v>7</v>
      </c>
      <c r="F391" s="7">
        <f t="shared" si="54"/>
        <v>38.142857142857146</v>
      </c>
      <c r="G391" s="6">
        <v>23</v>
      </c>
      <c r="H391" s="6">
        <v>377</v>
      </c>
      <c r="I391" s="7">
        <f t="shared" si="55"/>
        <v>16.391304347826086</v>
      </c>
      <c r="J391" s="6"/>
      <c r="K391" s="6"/>
      <c r="L391" s="6"/>
      <c r="M391" s="6"/>
      <c r="N391" s="6"/>
      <c r="O391" s="6"/>
      <c r="P391" s="7"/>
      <c r="Q391" s="6"/>
      <c r="R391" s="6"/>
      <c r="S391" s="7"/>
      <c r="T391" s="6"/>
      <c r="Y391" s="11"/>
      <c r="AA391" s="6"/>
      <c r="AB391" s="11"/>
    </row>
    <row r="392" spans="1:31" x14ac:dyDescent="0.25">
      <c r="A392" s="6" t="s">
        <v>306</v>
      </c>
      <c r="B392" s="6">
        <v>2</v>
      </c>
      <c r="C392" s="6">
        <v>6</v>
      </c>
      <c r="D392" s="6">
        <v>3</v>
      </c>
      <c r="E392" s="6"/>
      <c r="F392" s="7">
        <f t="shared" si="54"/>
        <v>2</v>
      </c>
      <c r="G392" s="6">
        <v>5</v>
      </c>
      <c r="H392" s="6">
        <v>77</v>
      </c>
      <c r="I392" s="7">
        <f t="shared" si="55"/>
        <v>15.4</v>
      </c>
      <c r="J392" s="6"/>
      <c r="K392" s="6"/>
      <c r="L392" s="6"/>
      <c r="M392" s="6"/>
      <c r="N392" s="6"/>
      <c r="O392" s="6"/>
      <c r="P392" s="7"/>
      <c r="Q392" s="6"/>
      <c r="R392" s="6"/>
      <c r="S392" s="7"/>
      <c r="T392" s="6"/>
      <c r="Y392" s="11"/>
      <c r="AA392" s="6"/>
      <c r="AB392" s="11"/>
    </row>
    <row r="393" spans="1:31" x14ac:dyDescent="0.25">
      <c r="A393" s="6" t="s">
        <v>307</v>
      </c>
      <c r="B393" s="6">
        <v>7</v>
      </c>
      <c r="C393" s="6">
        <v>305</v>
      </c>
      <c r="D393" s="6">
        <v>9</v>
      </c>
      <c r="E393" s="6">
        <v>2</v>
      </c>
      <c r="F393" s="7">
        <f t="shared" si="54"/>
        <v>43.571428571428569</v>
      </c>
      <c r="G393" s="6">
        <v>9</v>
      </c>
      <c r="H393" s="6">
        <v>141</v>
      </c>
      <c r="I393" s="7">
        <f t="shared" si="55"/>
        <v>15.666666666666666</v>
      </c>
      <c r="J393" s="6"/>
      <c r="K393" s="6"/>
      <c r="L393" s="6"/>
      <c r="M393" s="6"/>
      <c r="N393" s="6"/>
      <c r="O393" s="6"/>
      <c r="P393" s="7"/>
      <c r="Q393" s="6"/>
      <c r="R393" s="6"/>
      <c r="S393" s="7"/>
      <c r="T393" s="6"/>
      <c r="Y393" s="11"/>
      <c r="AA393" s="6"/>
      <c r="AB393" s="11"/>
    </row>
    <row r="394" spans="1:31" x14ac:dyDescent="0.25">
      <c r="A394" s="6" t="s">
        <v>818</v>
      </c>
      <c r="B394" s="6">
        <v>2.5</v>
      </c>
      <c r="C394" s="6">
        <v>9</v>
      </c>
      <c r="D394" s="6">
        <v>3</v>
      </c>
      <c r="E394" s="6"/>
      <c r="F394" s="7">
        <f t="shared" si="54"/>
        <v>3</v>
      </c>
      <c r="G394" s="6">
        <v>1</v>
      </c>
      <c r="H394" s="6">
        <v>71</v>
      </c>
      <c r="I394" s="7">
        <f t="shared" si="55"/>
        <v>71</v>
      </c>
      <c r="J394" s="6"/>
      <c r="K394" s="6"/>
      <c r="L394" s="6">
        <v>3</v>
      </c>
      <c r="M394" s="6">
        <v>9</v>
      </c>
      <c r="N394" s="6">
        <v>3</v>
      </c>
      <c r="O394" s="6"/>
      <c r="P394" s="7">
        <f t="shared" si="57"/>
        <v>3</v>
      </c>
      <c r="Q394" s="6">
        <v>1</v>
      </c>
      <c r="R394" s="6">
        <v>71</v>
      </c>
      <c r="S394" s="7">
        <f t="shared" si="56"/>
        <v>71</v>
      </c>
      <c r="T394" s="6"/>
      <c r="Y394" s="11"/>
      <c r="AB394" s="11"/>
      <c r="AD394" s="6"/>
      <c r="AE394" s="8" t="s">
        <v>180</v>
      </c>
    </row>
    <row r="395" spans="1:31" x14ac:dyDescent="0.25">
      <c r="A395" s="6" t="s">
        <v>940</v>
      </c>
      <c r="B395" s="6">
        <v>51.5</v>
      </c>
      <c r="C395" s="6">
        <v>187</v>
      </c>
      <c r="D395" s="6">
        <v>52</v>
      </c>
      <c r="E395" s="6">
        <v>9</v>
      </c>
      <c r="F395" s="7">
        <f t="shared" si="54"/>
        <v>4.3488372093023253</v>
      </c>
      <c r="G395" s="6">
        <v>15</v>
      </c>
      <c r="H395" s="6">
        <v>342</v>
      </c>
      <c r="I395" s="7">
        <f t="shared" si="55"/>
        <v>22.8</v>
      </c>
      <c r="J395" s="6"/>
      <c r="K395" s="6"/>
      <c r="L395" s="6"/>
      <c r="M395" s="6"/>
      <c r="N395" s="6"/>
      <c r="O395" s="6"/>
      <c r="P395" s="7"/>
      <c r="Q395" s="6"/>
      <c r="R395" s="6"/>
      <c r="S395" s="7"/>
      <c r="T395" s="6"/>
      <c r="U395" s="8">
        <v>3</v>
      </c>
      <c r="V395" s="8">
        <v>93</v>
      </c>
      <c r="W395" s="8">
        <v>3</v>
      </c>
      <c r="X395" s="8"/>
      <c r="Y395" s="11">
        <f t="shared" ref="Y395:Y408" si="58">(V395)/(W395-X395)</f>
        <v>31</v>
      </c>
      <c r="Z395" s="8"/>
      <c r="AA395" s="8"/>
      <c r="AB395" s="11"/>
      <c r="AC395" s="8"/>
      <c r="AD395" s="6"/>
      <c r="AE395" s="8" t="s">
        <v>971</v>
      </c>
    </row>
    <row r="396" spans="1:31" x14ac:dyDescent="0.25">
      <c r="A396" s="6" t="s">
        <v>991</v>
      </c>
      <c r="B396" s="6">
        <v>8</v>
      </c>
      <c r="C396" s="6">
        <v>18</v>
      </c>
      <c r="D396" s="6">
        <v>3</v>
      </c>
      <c r="E396" s="6"/>
      <c r="F396" s="7">
        <f t="shared" si="54"/>
        <v>6</v>
      </c>
      <c r="G396" s="6">
        <v>12</v>
      </c>
      <c r="H396" s="6">
        <v>208</v>
      </c>
      <c r="I396" s="7">
        <f t="shared" si="55"/>
        <v>17.333333333333332</v>
      </c>
      <c r="J396" s="6"/>
      <c r="K396" s="6"/>
      <c r="L396" s="6"/>
      <c r="M396" s="6"/>
      <c r="N396" s="6"/>
      <c r="O396" s="6"/>
      <c r="P396" s="7"/>
      <c r="Q396" s="6"/>
      <c r="R396" s="6"/>
      <c r="S396" s="7"/>
      <c r="T396" s="6"/>
      <c r="U396" s="8"/>
      <c r="V396" s="8"/>
      <c r="W396" s="8"/>
      <c r="X396" s="8"/>
      <c r="Y396" s="11"/>
      <c r="Z396" s="8"/>
      <c r="AA396" s="8"/>
      <c r="AB396" s="11"/>
      <c r="AC396" s="8"/>
      <c r="AD396" s="6"/>
      <c r="AE396" s="8" t="s">
        <v>990</v>
      </c>
    </row>
    <row r="397" spans="1:31" x14ac:dyDescent="0.25">
      <c r="A397" s="6" t="s">
        <v>308</v>
      </c>
      <c r="B397" s="6">
        <v>1</v>
      </c>
      <c r="C397" s="6"/>
      <c r="D397" s="6">
        <v>1</v>
      </c>
      <c r="E397" s="6"/>
      <c r="F397" s="7">
        <f t="shared" si="54"/>
        <v>0</v>
      </c>
      <c r="G397" s="6"/>
      <c r="H397" s="6">
        <v>21</v>
      </c>
      <c r="I397" s="7"/>
      <c r="J397" s="6"/>
      <c r="K397" s="6"/>
      <c r="L397" s="6"/>
      <c r="M397" s="6"/>
      <c r="N397" s="6"/>
      <c r="O397" s="6"/>
      <c r="P397" s="7"/>
      <c r="Q397" s="6"/>
      <c r="R397" s="6"/>
      <c r="S397" s="7"/>
      <c r="T397" s="6"/>
      <c r="Y397" s="11"/>
      <c r="AA397" s="6"/>
      <c r="AB397" s="11"/>
    </row>
    <row r="398" spans="1:31" x14ac:dyDescent="0.25">
      <c r="A398" s="6" t="s">
        <v>309</v>
      </c>
      <c r="B398" s="6">
        <v>108</v>
      </c>
      <c r="C398" s="6">
        <v>1267</v>
      </c>
      <c r="D398" s="6">
        <v>100</v>
      </c>
      <c r="E398" s="6">
        <v>21</v>
      </c>
      <c r="F398" s="7">
        <f t="shared" si="54"/>
        <v>16.037974683544302</v>
      </c>
      <c r="G398" s="6">
        <v>248</v>
      </c>
      <c r="H398" s="6">
        <v>3608</v>
      </c>
      <c r="I398" s="7">
        <f t="shared" si="55"/>
        <v>14.548387096774194</v>
      </c>
      <c r="J398" s="6"/>
      <c r="K398" s="6"/>
      <c r="L398" s="6"/>
      <c r="M398" s="6"/>
      <c r="N398" s="6"/>
      <c r="O398" s="6"/>
      <c r="P398" s="7"/>
      <c r="Q398" s="6"/>
      <c r="R398" s="6"/>
      <c r="S398" s="7"/>
      <c r="T398" s="6"/>
      <c r="Y398" s="11"/>
      <c r="AA398" s="6"/>
      <c r="AB398" s="11"/>
    </row>
    <row r="399" spans="1:31" x14ac:dyDescent="0.25">
      <c r="A399" s="6" t="s">
        <v>992</v>
      </c>
      <c r="B399" s="6">
        <v>16.5</v>
      </c>
      <c r="C399" s="6">
        <v>35</v>
      </c>
      <c r="D399" s="6">
        <v>8</v>
      </c>
      <c r="E399" s="6">
        <v>4</v>
      </c>
      <c r="F399" s="7">
        <f t="shared" si="54"/>
        <v>8.75</v>
      </c>
      <c r="G399" s="6">
        <v>11</v>
      </c>
      <c r="H399" s="6">
        <v>430</v>
      </c>
      <c r="I399" s="7">
        <f t="shared" si="55"/>
        <v>39.090909090909093</v>
      </c>
      <c r="J399" s="6"/>
      <c r="K399" s="6"/>
      <c r="L399" s="6"/>
      <c r="M399" s="6"/>
      <c r="N399" s="6"/>
      <c r="O399" s="6"/>
      <c r="P399" s="7"/>
      <c r="Q399" s="6"/>
      <c r="R399" s="6"/>
      <c r="S399" s="7"/>
      <c r="T399" s="6"/>
      <c r="U399" s="1">
        <v>5</v>
      </c>
      <c r="V399" s="1">
        <v>2</v>
      </c>
      <c r="W399" s="1">
        <v>1</v>
      </c>
      <c r="Y399" s="11">
        <f t="shared" si="58"/>
        <v>2</v>
      </c>
      <c r="Z399">
        <v>2</v>
      </c>
      <c r="AA399" s="6">
        <v>92</v>
      </c>
      <c r="AB399" s="11">
        <f t="shared" si="53"/>
        <v>46</v>
      </c>
      <c r="AE399" s="8" t="s">
        <v>1060</v>
      </c>
    </row>
    <row r="400" spans="1:31" x14ac:dyDescent="0.25">
      <c r="A400" s="6" t="s">
        <v>1142</v>
      </c>
      <c r="B400" s="6">
        <v>5</v>
      </c>
      <c r="C400" s="6">
        <v>16</v>
      </c>
      <c r="D400" s="6">
        <v>7</v>
      </c>
      <c r="E400" s="6">
        <v>1</v>
      </c>
      <c r="F400" s="7">
        <f t="shared" si="54"/>
        <v>2.6666666666666665</v>
      </c>
      <c r="G400" s="6">
        <v>2</v>
      </c>
      <c r="H400" s="6">
        <v>48</v>
      </c>
      <c r="I400" s="7">
        <f t="shared" si="55"/>
        <v>24</v>
      </c>
      <c r="J400" s="6"/>
      <c r="K400" s="6"/>
      <c r="L400" s="6"/>
      <c r="M400" s="6"/>
      <c r="N400" s="6"/>
      <c r="O400" s="6"/>
      <c r="P400" s="7"/>
      <c r="Q400" s="6"/>
      <c r="R400" s="6"/>
      <c r="S400" s="7"/>
      <c r="T400" s="6"/>
      <c r="Y400" s="11"/>
      <c r="Z400"/>
      <c r="AA400" s="6"/>
      <c r="AB400" s="11"/>
      <c r="AE400" s="8" t="s">
        <v>1032</v>
      </c>
    </row>
    <row r="401" spans="1:31" x14ac:dyDescent="0.25">
      <c r="A401" s="6" t="s">
        <v>701</v>
      </c>
      <c r="B401" s="6">
        <v>2.5</v>
      </c>
      <c r="C401" s="6">
        <v>34</v>
      </c>
      <c r="D401" s="6">
        <v>3</v>
      </c>
      <c r="E401" s="6"/>
      <c r="F401" s="7">
        <f t="shared" si="54"/>
        <v>11.333333333333334</v>
      </c>
      <c r="G401" s="6"/>
      <c r="H401" s="6"/>
      <c r="I401" s="7"/>
      <c r="J401" s="6"/>
      <c r="K401" s="6"/>
      <c r="L401" s="6">
        <v>3</v>
      </c>
      <c r="M401" s="6">
        <v>34</v>
      </c>
      <c r="N401" s="6">
        <v>3</v>
      </c>
      <c r="O401" s="6"/>
      <c r="P401" s="7">
        <f t="shared" si="57"/>
        <v>11.333333333333334</v>
      </c>
      <c r="Q401" s="6"/>
      <c r="R401" s="6"/>
      <c r="S401" s="7"/>
      <c r="T401" s="6"/>
      <c r="Y401" s="11"/>
      <c r="AB401" s="11"/>
      <c r="AD401" s="6"/>
      <c r="AE401" s="8" t="s">
        <v>180</v>
      </c>
    </row>
    <row r="402" spans="1:31" x14ac:dyDescent="0.25">
      <c r="A402" s="6" t="s">
        <v>310</v>
      </c>
      <c r="B402" s="6">
        <v>85</v>
      </c>
      <c r="C402" s="6">
        <v>2197</v>
      </c>
      <c r="D402" s="6">
        <v>96</v>
      </c>
      <c r="E402" s="6">
        <v>6</v>
      </c>
      <c r="F402" s="7">
        <f t="shared" si="54"/>
        <v>24.411111111111111</v>
      </c>
      <c r="G402" s="6">
        <v>2</v>
      </c>
      <c r="H402" s="6">
        <v>31</v>
      </c>
      <c r="I402" s="7">
        <f t="shared" si="55"/>
        <v>15.5</v>
      </c>
      <c r="J402" s="6"/>
      <c r="K402" s="6"/>
      <c r="L402" s="6"/>
      <c r="M402" s="6"/>
      <c r="N402" s="6"/>
      <c r="O402" s="6"/>
      <c r="P402" s="7"/>
      <c r="Q402" s="6"/>
      <c r="R402" s="6"/>
      <c r="S402" s="7"/>
      <c r="T402" s="6"/>
      <c r="Y402" s="11"/>
      <c r="AA402" s="6"/>
      <c r="AB402" s="11"/>
    </row>
    <row r="403" spans="1:31" x14ac:dyDescent="0.25">
      <c r="A403" s="6" t="s">
        <v>311</v>
      </c>
      <c r="B403" s="6">
        <v>16</v>
      </c>
      <c r="C403" s="6">
        <v>150</v>
      </c>
      <c r="D403" s="6">
        <v>19</v>
      </c>
      <c r="E403" s="6">
        <v>3</v>
      </c>
      <c r="F403" s="7">
        <f t="shared" si="54"/>
        <v>9.375</v>
      </c>
      <c r="G403" s="6">
        <v>3</v>
      </c>
      <c r="H403" s="6">
        <v>13</v>
      </c>
      <c r="I403" s="7">
        <f t="shared" si="55"/>
        <v>4.333333333333333</v>
      </c>
      <c r="J403" s="6"/>
      <c r="K403" s="6"/>
      <c r="L403" s="6"/>
      <c r="M403" s="6"/>
      <c r="N403" s="6"/>
      <c r="O403" s="6"/>
      <c r="P403" s="7"/>
      <c r="Q403" s="6"/>
      <c r="R403" s="6"/>
      <c r="S403" s="7"/>
      <c r="T403" s="6"/>
      <c r="Y403" s="11"/>
      <c r="AA403" s="6"/>
      <c r="AB403" s="11"/>
    </row>
    <row r="404" spans="1:31" x14ac:dyDescent="0.25">
      <c r="A404" s="6" t="s">
        <v>312</v>
      </c>
      <c r="B404" s="6">
        <v>22</v>
      </c>
      <c r="C404" s="6">
        <v>265</v>
      </c>
      <c r="D404" s="6">
        <v>23</v>
      </c>
      <c r="E404" s="6">
        <v>3</v>
      </c>
      <c r="F404" s="7">
        <f t="shared" si="54"/>
        <v>13.25</v>
      </c>
      <c r="G404" s="6">
        <v>9</v>
      </c>
      <c r="H404" s="6">
        <v>323</v>
      </c>
      <c r="I404" s="7">
        <f t="shared" si="55"/>
        <v>35.888888888888886</v>
      </c>
      <c r="J404" s="6"/>
      <c r="K404" s="6"/>
      <c r="L404" s="6"/>
      <c r="M404" s="6"/>
      <c r="N404" s="6"/>
      <c r="O404" s="6"/>
      <c r="P404" s="7"/>
      <c r="Q404" s="6"/>
      <c r="R404" s="6"/>
      <c r="S404" s="7"/>
      <c r="T404" s="6"/>
      <c r="Y404" s="11"/>
      <c r="AA404" s="6"/>
      <c r="AB404" s="11"/>
    </row>
    <row r="405" spans="1:31" x14ac:dyDescent="0.25">
      <c r="A405" s="6" t="s">
        <v>941</v>
      </c>
      <c r="B405" s="6">
        <v>2</v>
      </c>
      <c r="C405" s="6">
        <v>0</v>
      </c>
      <c r="D405" s="6">
        <v>1</v>
      </c>
      <c r="E405" s="6">
        <v>1</v>
      </c>
      <c r="F405" s="7"/>
      <c r="G405" s="6">
        <v>1</v>
      </c>
      <c r="H405" s="6">
        <v>49</v>
      </c>
      <c r="I405" s="7">
        <f t="shared" si="55"/>
        <v>49</v>
      </c>
      <c r="J405" s="6"/>
      <c r="K405" s="6"/>
      <c r="L405" s="6"/>
      <c r="M405" s="6"/>
      <c r="N405" s="6"/>
      <c r="O405" s="6"/>
      <c r="P405" s="7"/>
      <c r="Q405" s="6"/>
      <c r="R405" s="6"/>
      <c r="S405" s="7"/>
      <c r="T405" s="6"/>
      <c r="Y405" s="11"/>
      <c r="AA405" s="6"/>
      <c r="AB405" s="11"/>
    </row>
    <row r="406" spans="1:31" x14ac:dyDescent="0.25">
      <c r="A406" s="6" t="s">
        <v>313</v>
      </c>
      <c r="B406" s="6">
        <v>32</v>
      </c>
      <c r="C406" s="6">
        <v>310</v>
      </c>
      <c r="D406" s="6">
        <v>32</v>
      </c>
      <c r="E406" s="6">
        <v>2</v>
      </c>
      <c r="F406" s="7">
        <f t="shared" si="54"/>
        <v>10.333333333333334</v>
      </c>
      <c r="G406" s="6">
        <v>7</v>
      </c>
      <c r="H406" s="6">
        <v>153</v>
      </c>
      <c r="I406" s="7">
        <f t="shared" si="55"/>
        <v>21.857142857142858</v>
      </c>
      <c r="J406" s="6"/>
      <c r="K406" s="6"/>
      <c r="L406" s="6">
        <v>1</v>
      </c>
      <c r="M406" s="6"/>
      <c r="N406" s="6"/>
      <c r="O406" s="6"/>
      <c r="P406" s="7"/>
      <c r="Q406" s="6"/>
      <c r="R406" s="6"/>
      <c r="S406" s="7"/>
      <c r="T406" s="6"/>
      <c r="Y406" s="11"/>
      <c r="AB406" s="11"/>
      <c r="AD406" s="6"/>
      <c r="AE406" s="8" t="s">
        <v>942</v>
      </c>
    </row>
    <row r="407" spans="1:31" x14ac:dyDescent="0.25">
      <c r="A407" s="6" t="s">
        <v>752</v>
      </c>
      <c r="B407" s="6">
        <v>115</v>
      </c>
      <c r="C407" s="6">
        <v>254</v>
      </c>
      <c r="D407" s="6">
        <v>67</v>
      </c>
      <c r="E407" s="6">
        <v>20</v>
      </c>
      <c r="F407" s="7">
        <f t="shared" si="54"/>
        <v>5.4042553191489358</v>
      </c>
      <c r="G407" s="6">
        <v>61</v>
      </c>
      <c r="H407" s="6">
        <v>2472</v>
      </c>
      <c r="I407" s="7">
        <f t="shared" si="55"/>
        <v>40.524590163934427</v>
      </c>
      <c r="J407" s="6"/>
      <c r="K407" s="6"/>
      <c r="L407" s="6">
        <v>30</v>
      </c>
      <c r="M407" s="6">
        <v>82</v>
      </c>
      <c r="N407" s="6">
        <v>22</v>
      </c>
      <c r="O407" s="6">
        <v>7</v>
      </c>
      <c r="P407" s="7">
        <f t="shared" si="57"/>
        <v>5.4666666666666668</v>
      </c>
      <c r="Q407" s="6">
        <v>16</v>
      </c>
      <c r="R407" s="6">
        <v>444</v>
      </c>
      <c r="S407" s="7">
        <f t="shared" ref="S407:S412" si="59">(R407/Q407)</f>
        <v>27.75</v>
      </c>
      <c r="T407" s="6"/>
      <c r="U407" s="8">
        <v>6</v>
      </c>
      <c r="V407" s="8"/>
      <c r="W407" s="8"/>
      <c r="X407" s="8"/>
      <c r="Y407" s="11"/>
      <c r="Z407" s="8">
        <v>1</v>
      </c>
      <c r="AA407" s="8">
        <v>56</v>
      </c>
      <c r="AB407" s="11">
        <f t="shared" si="53"/>
        <v>56</v>
      </c>
      <c r="AD407" s="6"/>
      <c r="AE407" s="8" t="s">
        <v>1143</v>
      </c>
    </row>
    <row r="408" spans="1:31" x14ac:dyDescent="0.25">
      <c r="A408" s="6" t="s">
        <v>753</v>
      </c>
      <c r="B408" s="6">
        <v>145.5</v>
      </c>
      <c r="C408" s="6">
        <v>3467</v>
      </c>
      <c r="D408" s="6">
        <v>162</v>
      </c>
      <c r="E408" s="6">
        <v>10</v>
      </c>
      <c r="F408" s="7">
        <f t="shared" si="54"/>
        <v>22.809210526315791</v>
      </c>
      <c r="G408" s="6">
        <v>2</v>
      </c>
      <c r="H408" s="6">
        <v>200</v>
      </c>
      <c r="I408" s="7">
        <f t="shared" si="55"/>
        <v>100</v>
      </c>
      <c r="J408" s="6"/>
      <c r="K408" s="6"/>
      <c r="L408" s="6">
        <v>13</v>
      </c>
      <c r="M408" s="6">
        <v>288</v>
      </c>
      <c r="N408" s="6">
        <v>13</v>
      </c>
      <c r="O408" s="6">
        <v>1</v>
      </c>
      <c r="P408" s="7">
        <f t="shared" si="57"/>
        <v>24</v>
      </c>
      <c r="Q408" s="6"/>
      <c r="R408" s="6">
        <v>26</v>
      </c>
      <c r="S408" s="10"/>
      <c r="T408" s="6"/>
      <c r="U408" s="8">
        <v>22</v>
      </c>
      <c r="V408" s="8">
        <v>460</v>
      </c>
      <c r="W408" s="8">
        <v>21</v>
      </c>
      <c r="X408" s="8">
        <v>3</v>
      </c>
      <c r="Y408" s="11">
        <f t="shared" si="58"/>
        <v>25.555555555555557</v>
      </c>
      <c r="Z408" s="8"/>
      <c r="AA408" s="8"/>
      <c r="AB408" s="11"/>
      <c r="AD408" s="6"/>
      <c r="AE408" s="8" t="s">
        <v>1144</v>
      </c>
    </row>
    <row r="409" spans="1:31" x14ac:dyDescent="0.25">
      <c r="A409" s="6" t="s">
        <v>853</v>
      </c>
      <c r="B409" s="6">
        <v>11</v>
      </c>
      <c r="C409" s="6">
        <v>40</v>
      </c>
      <c r="D409" s="6">
        <v>6</v>
      </c>
      <c r="E409" s="6">
        <v>4</v>
      </c>
      <c r="F409" s="7">
        <f t="shared" si="54"/>
        <v>20</v>
      </c>
      <c r="G409" s="6">
        <v>15</v>
      </c>
      <c r="H409" s="6">
        <v>290</v>
      </c>
      <c r="I409" s="7">
        <f t="shared" si="55"/>
        <v>19.333333333333332</v>
      </c>
      <c r="J409" s="6"/>
      <c r="K409" s="6"/>
      <c r="L409" s="6"/>
      <c r="M409" s="6"/>
      <c r="N409" s="6"/>
      <c r="O409" s="6"/>
      <c r="P409" s="7"/>
      <c r="Q409" s="6"/>
      <c r="R409" s="6"/>
      <c r="S409" s="10"/>
      <c r="T409" s="6"/>
      <c r="Y409" s="11"/>
      <c r="AA409" s="6"/>
      <c r="AB409" s="11"/>
    </row>
    <row r="410" spans="1:31" x14ac:dyDescent="0.25">
      <c r="A410" s="6" t="s">
        <v>314</v>
      </c>
      <c r="B410" s="6">
        <v>5</v>
      </c>
      <c r="C410" s="6">
        <v>158</v>
      </c>
      <c r="D410" s="6">
        <v>5</v>
      </c>
      <c r="E410" s="6">
        <v>2</v>
      </c>
      <c r="F410" s="7">
        <f t="shared" si="54"/>
        <v>52.666666666666664</v>
      </c>
      <c r="G410" s="6">
        <v>7</v>
      </c>
      <c r="H410" s="6">
        <v>92</v>
      </c>
      <c r="I410" s="7">
        <f t="shared" si="55"/>
        <v>13.142857142857142</v>
      </c>
      <c r="J410" s="6"/>
      <c r="K410" s="6"/>
      <c r="L410" s="6"/>
      <c r="M410" s="6"/>
      <c r="N410" s="6"/>
      <c r="O410" s="6"/>
      <c r="P410" s="7"/>
      <c r="Q410" s="6"/>
      <c r="R410" s="6"/>
      <c r="S410" s="7"/>
      <c r="T410" s="6"/>
      <c r="Y410" s="11"/>
      <c r="AA410" s="6"/>
      <c r="AB410" s="11"/>
    </row>
    <row r="411" spans="1:31" x14ac:dyDescent="0.25">
      <c r="A411" s="6" t="s">
        <v>315</v>
      </c>
      <c r="B411" s="6">
        <v>1</v>
      </c>
      <c r="C411" s="6"/>
      <c r="D411" s="6">
        <v>1</v>
      </c>
      <c r="E411" s="6"/>
      <c r="F411" s="7"/>
      <c r="G411" s="6"/>
      <c r="H411" s="6"/>
      <c r="I411" s="7"/>
      <c r="J411" s="6"/>
      <c r="K411" s="6"/>
      <c r="L411" s="6"/>
      <c r="M411" s="6"/>
      <c r="N411" s="6"/>
      <c r="O411" s="6"/>
      <c r="P411" s="7"/>
      <c r="Q411" s="6"/>
      <c r="R411" s="6"/>
      <c r="S411" s="7"/>
      <c r="T411" s="6"/>
      <c r="Y411" s="11"/>
      <c r="AA411" s="6"/>
      <c r="AB411" s="11"/>
    </row>
    <row r="412" spans="1:31" x14ac:dyDescent="0.25">
      <c r="A412" s="6" t="s">
        <v>316</v>
      </c>
      <c r="B412" s="6">
        <v>27</v>
      </c>
      <c r="C412" s="6">
        <v>461</v>
      </c>
      <c r="D412" s="6">
        <v>25</v>
      </c>
      <c r="E412" s="6">
        <v>7</v>
      </c>
      <c r="F412" s="7">
        <f t="shared" si="54"/>
        <v>25.611111111111111</v>
      </c>
      <c r="G412" s="6">
        <v>18</v>
      </c>
      <c r="H412" s="6">
        <v>298</v>
      </c>
      <c r="I412" s="7">
        <f t="shared" si="55"/>
        <v>16.555555555555557</v>
      </c>
      <c r="J412" s="6"/>
      <c r="K412" s="6"/>
      <c r="L412" s="6">
        <v>1</v>
      </c>
      <c r="M412" s="6">
        <v>50</v>
      </c>
      <c r="N412" s="6">
        <v>1</v>
      </c>
      <c r="O412" s="6">
        <v>1</v>
      </c>
      <c r="P412" s="7"/>
      <c r="Q412" s="6">
        <v>1</v>
      </c>
      <c r="R412" s="6">
        <v>13</v>
      </c>
      <c r="S412" s="7">
        <f t="shared" si="59"/>
        <v>13</v>
      </c>
      <c r="T412" s="6"/>
      <c r="Y412" s="11"/>
      <c r="AB412" s="11"/>
      <c r="AD412" s="6"/>
      <c r="AE412" s="8" t="s">
        <v>788</v>
      </c>
    </row>
    <row r="413" spans="1:31" x14ac:dyDescent="0.25">
      <c r="A413" s="6" t="s">
        <v>854</v>
      </c>
      <c r="B413" s="6">
        <v>6</v>
      </c>
      <c r="C413" s="6">
        <v>40</v>
      </c>
      <c r="D413" s="6">
        <v>6</v>
      </c>
      <c r="E413" s="6">
        <v>2</v>
      </c>
      <c r="F413" s="7">
        <f t="shared" si="54"/>
        <v>10</v>
      </c>
      <c r="G413" s="6">
        <v>3</v>
      </c>
      <c r="H413" s="6">
        <v>168</v>
      </c>
      <c r="I413" s="7">
        <f t="shared" si="55"/>
        <v>56</v>
      </c>
      <c r="J413" s="6"/>
      <c r="K413" s="6"/>
      <c r="L413" s="6"/>
      <c r="M413" s="6"/>
      <c r="N413" s="6"/>
      <c r="O413" s="6"/>
      <c r="P413" s="7"/>
      <c r="Q413" s="6"/>
      <c r="R413" s="6"/>
      <c r="S413" s="7"/>
      <c r="T413" s="6"/>
      <c r="Y413" s="11"/>
      <c r="AA413" s="6"/>
      <c r="AB413" s="11"/>
    </row>
    <row r="414" spans="1:31" x14ac:dyDescent="0.25">
      <c r="A414" s="6" t="s">
        <v>855</v>
      </c>
      <c r="B414" s="6">
        <v>7</v>
      </c>
      <c r="C414" s="6">
        <v>94</v>
      </c>
      <c r="D414" s="6">
        <v>7</v>
      </c>
      <c r="E414" s="6">
        <v>1</v>
      </c>
      <c r="F414" s="7">
        <f t="shared" si="54"/>
        <v>15.666666666666666</v>
      </c>
      <c r="G414" s="6">
        <v>13</v>
      </c>
      <c r="H414" s="6">
        <v>132</v>
      </c>
      <c r="I414" s="7">
        <f t="shared" si="55"/>
        <v>10.153846153846153</v>
      </c>
      <c r="J414" s="6"/>
      <c r="K414" s="6"/>
      <c r="L414" s="6"/>
      <c r="M414" s="6"/>
      <c r="N414" s="6"/>
      <c r="O414" s="6"/>
      <c r="P414" s="7"/>
      <c r="Q414" s="6"/>
      <c r="R414" s="6"/>
      <c r="S414" s="7"/>
      <c r="T414" s="6"/>
      <c r="Y414" s="11"/>
      <c r="AA414" s="6"/>
      <c r="AB414" s="11"/>
    </row>
    <row r="415" spans="1:31" x14ac:dyDescent="0.25">
      <c r="A415" s="6" t="s">
        <v>317</v>
      </c>
      <c r="B415" s="6">
        <v>3</v>
      </c>
      <c r="C415" s="6">
        <v>113</v>
      </c>
      <c r="D415" s="6">
        <v>3</v>
      </c>
      <c r="E415" s="6"/>
      <c r="F415" s="7">
        <f t="shared" si="54"/>
        <v>37.666666666666664</v>
      </c>
      <c r="G415" s="6">
        <v>4</v>
      </c>
      <c r="H415" s="6">
        <v>84</v>
      </c>
      <c r="I415" s="7">
        <f t="shared" si="55"/>
        <v>21</v>
      </c>
      <c r="J415" s="6"/>
      <c r="K415" s="6"/>
      <c r="L415" s="6"/>
      <c r="M415" s="6"/>
      <c r="N415" s="6"/>
      <c r="O415" s="6"/>
      <c r="P415" s="7"/>
      <c r="Q415" s="6"/>
      <c r="R415" s="6"/>
      <c r="S415" s="7"/>
      <c r="T415" s="6"/>
      <c r="Y415" s="11"/>
      <c r="AA415" s="6"/>
      <c r="AB415" s="11"/>
    </row>
    <row r="416" spans="1:31" x14ac:dyDescent="0.25">
      <c r="A416" s="6" t="s">
        <v>718</v>
      </c>
      <c r="B416" s="6">
        <v>17</v>
      </c>
      <c r="C416" s="6">
        <v>271</v>
      </c>
      <c r="D416" s="6">
        <v>17</v>
      </c>
      <c r="E416" s="6">
        <v>4</v>
      </c>
      <c r="F416" s="7">
        <f t="shared" si="54"/>
        <v>20.846153846153847</v>
      </c>
      <c r="G416" s="6">
        <v>12</v>
      </c>
      <c r="H416" s="6">
        <v>260</v>
      </c>
      <c r="I416" s="7">
        <f t="shared" si="55"/>
        <v>21.666666666666668</v>
      </c>
      <c r="J416" s="6"/>
      <c r="K416" s="6"/>
      <c r="L416" s="6">
        <v>2</v>
      </c>
      <c r="M416" s="6">
        <v>13</v>
      </c>
      <c r="N416" s="6">
        <v>2</v>
      </c>
      <c r="O416" s="6"/>
      <c r="P416" s="7">
        <f t="shared" si="57"/>
        <v>6.5</v>
      </c>
      <c r="Q416" s="6"/>
      <c r="R416" s="6"/>
      <c r="S416" s="7"/>
      <c r="T416" s="6"/>
      <c r="Y416" s="11"/>
      <c r="AB416" s="11"/>
      <c r="AD416" s="6"/>
      <c r="AE416" s="8" t="s">
        <v>702</v>
      </c>
    </row>
    <row r="417" spans="1:31" x14ac:dyDescent="0.25">
      <c r="A417" s="6" t="s">
        <v>318</v>
      </c>
      <c r="B417" s="6">
        <v>2</v>
      </c>
      <c r="C417" s="6">
        <v>47</v>
      </c>
      <c r="D417" s="6">
        <v>2</v>
      </c>
      <c r="E417" s="6"/>
      <c r="F417" s="7">
        <f t="shared" si="54"/>
        <v>23.5</v>
      </c>
      <c r="G417" s="6"/>
      <c r="H417" s="6"/>
      <c r="I417" s="7"/>
      <c r="J417" s="6"/>
      <c r="K417" s="6"/>
      <c r="L417" s="6"/>
      <c r="M417" s="6"/>
      <c r="N417" s="6"/>
      <c r="O417" s="6"/>
      <c r="P417" s="7"/>
      <c r="Q417" s="6"/>
      <c r="R417" s="6"/>
      <c r="S417" s="7"/>
      <c r="T417" s="6"/>
      <c r="Y417" s="11"/>
      <c r="AA417" s="6"/>
      <c r="AB417" s="11"/>
    </row>
    <row r="418" spans="1:31" x14ac:dyDescent="0.25">
      <c r="A418" s="6" t="s">
        <v>319</v>
      </c>
      <c r="B418" s="6">
        <v>59</v>
      </c>
      <c r="C418" s="6">
        <v>473</v>
      </c>
      <c r="D418" s="6">
        <v>43</v>
      </c>
      <c r="E418" s="6">
        <v>10</v>
      </c>
      <c r="F418" s="7">
        <f t="shared" si="54"/>
        <v>14.333333333333334</v>
      </c>
      <c r="G418" s="6">
        <v>102</v>
      </c>
      <c r="H418" s="6">
        <v>2437</v>
      </c>
      <c r="I418" s="7">
        <f t="shared" si="55"/>
        <v>23.892156862745097</v>
      </c>
      <c r="J418" s="6"/>
      <c r="K418" s="6"/>
      <c r="L418" s="6">
        <v>6</v>
      </c>
      <c r="M418" s="6">
        <v>111</v>
      </c>
      <c r="N418" s="6">
        <v>3</v>
      </c>
      <c r="O418" s="6">
        <v>1</v>
      </c>
      <c r="P418" s="7">
        <f t="shared" si="57"/>
        <v>55.5</v>
      </c>
      <c r="Q418" s="6">
        <v>7</v>
      </c>
      <c r="R418" s="6">
        <v>154</v>
      </c>
      <c r="S418" s="7">
        <f t="shared" ref="S418:S500" si="60">(R418/Q418)</f>
        <v>22</v>
      </c>
      <c r="T418" s="6"/>
      <c r="Y418" s="11"/>
      <c r="AB418" s="11"/>
      <c r="AD418" s="6"/>
      <c r="AE418" s="8" t="s">
        <v>778</v>
      </c>
    </row>
    <row r="419" spans="1:31" x14ac:dyDescent="0.25">
      <c r="A419" s="6" t="s">
        <v>1027</v>
      </c>
      <c r="B419" s="6">
        <v>1</v>
      </c>
      <c r="C419" s="6">
        <v>30</v>
      </c>
      <c r="D419" s="6">
        <v>1</v>
      </c>
      <c r="E419" s="6"/>
      <c r="F419" s="7">
        <f t="shared" si="54"/>
        <v>30</v>
      </c>
      <c r="G419" s="6"/>
      <c r="H419" s="6"/>
      <c r="I419" s="7"/>
      <c r="J419" s="6"/>
      <c r="K419" s="6"/>
      <c r="L419" s="6"/>
      <c r="M419" s="6"/>
      <c r="N419" s="6"/>
      <c r="O419" s="6"/>
      <c r="P419" s="7"/>
      <c r="Q419" s="6"/>
      <c r="R419" s="6"/>
      <c r="S419" s="7"/>
      <c r="T419" s="6"/>
      <c r="Y419" s="11"/>
      <c r="AB419" s="11"/>
      <c r="AD419" s="6"/>
      <c r="AE419" s="8" t="s">
        <v>1028</v>
      </c>
    </row>
    <row r="420" spans="1:31" x14ac:dyDescent="0.25">
      <c r="A420" s="6" t="s">
        <v>320</v>
      </c>
      <c r="B420" s="6">
        <v>50</v>
      </c>
      <c r="C420" s="6">
        <v>783</v>
      </c>
      <c r="D420" s="6">
        <v>51</v>
      </c>
      <c r="E420" s="6">
        <v>7</v>
      </c>
      <c r="F420" s="7">
        <f t="shared" si="54"/>
        <v>17.795454545454547</v>
      </c>
      <c r="G420" s="6">
        <v>22</v>
      </c>
      <c r="H420" s="6">
        <v>318</v>
      </c>
      <c r="I420" s="7">
        <f t="shared" si="55"/>
        <v>14.454545454545455</v>
      </c>
      <c r="J420" s="6"/>
      <c r="K420" s="6"/>
      <c r="L420" s="6"/>
      <c r="M420" s="6"/>
      <c r="N420" s="6"/>
      <c r="O420" s="6"/>
      <c r="P420" s="7"/>
      <c r="Q420" s="6"/>
      <c r="R420" s="6"/>
      <c r="S420" s="7"/>
      <c r="T420" s="6"/>
      <c r="Y420" s="11"/>
      <c r="AA420" s="6"/>
      <c r="AB420" s="11"/>
    </row>
    <row r="421" spans="1:31" x14ac:dyDescent="0.25">
      <c r="A421" s="6" t="s">
        <v>321</v>
      </c>
      <c r="B421" s="6">
        <v>1</v>
      </c>
      <c r="C421" s="6">
        <v>6</v>
      </c>
      <c r="D421" s="6">
        <v>1</v>
      </c>
      <c r="E421" s="6"/>
      <c r="F421" s="7">
        <f t="shared" si="54"/>
        <v>6</v>
      </c>
      <c r="G421" s="6"/>
      <c r="H421" s="6"/>
      <c r="I421" s="7"/>
      <c r="J421" s="6"/>
      <c r="K421" s="6"/>
      <c r="L421" s="6"/>
      <c r="M421" s="6"/>
      <c r="N421" s="6"/>
      <c r="O421" s="6"/>
      <c r="P421" s="7"/>
      <c r="Q421" s="6"/>
      <c r="R421" s="6"/>
      <c r="S421" s="7"/>
      <c r="T421" s="6"/>
      <c r="Y421" s="11"/>
      <c r="AA421" s="6"/>
      <c r="AB421" s="11"/>
    </row>
    <row r="422" spans="1:31" x14ac:dyDescent="0.25">
      <c r="A422" s="6" t="s">
        <v>322</v>
      </c>
      <c r="B422" s="6">
        <v>11</v>
      </c>
      <c r="C422" s="6">
        <v>175</v>
      </c>
      <c r="D422" s="6">
        <v>10</v>
      </c>
      <c r="E422" s="6">
        <v>1</v>
      </c>
      <c r="F422" s="7">
        <f t="shared" si="54"/>
        <v>19.444444444444443</v>
      </c>
      <c r="G422" s="6">
        <v>10</v>
      </c>
      <c r="H422" s="6">
        <v>269</v>
      </c>
      <c r="I422" s="7">
        <f t="shared" si="55"/>
        <v>26.9</v>
      </c>
      <c r="J422" s="6"/>
      <c r="K422" s="6"/>
      <c r="L422" s="6"/>
      <c r="M422" s="6"/>
      <c r="N422" s="6"/>
      <c r="O422" s="6"/>
      <c r="P422" s="7"/>
      <c r="Q422" s="6"/>
      <c r="R422" s="6"/>
      <c r="S422" s="7"/>
      <c r="T422" s="6"/>
      <c r="Y422" s="11"/>
      <c r="AA422" s="6"/>
      <c r="AB422" s="11"/>
    </row>
    <row r="423" spans="1:31" x14ac:dyDescent="0.25">
      <c r="A423" s="6" t="s">
        <v>819</v>
      </c>
      <c r="B423" s="6">
        <v>2</v>
      </c>
      <c r="C423" s="6">
        <v>36</v>
      </c>
      <c r="D423" s="6">
        <v>2</v>
      </c>
      <c r="E423" s="6">
        <v>1</v>
      </c>
      <c r="F423" s="7">
        <f t="shared" si="54"/>
        <v>36</v>
      </c>
      <c r="G423" s="6">
        <v>1</v>
      </c>
      <c r="H423" s="6">
        <v>42</v>
      </c>
      <c r="I423" s="7">
        <f t="shared" si="55"/>
        <v>42</v>
      </c>
      <c r="J423" s="6"/>
      <c r="K423" s="6"/>
      <c r="L423" s="6">
        <v>2</v>
      </c>
      <c r="M423" s="6">
        <v>36</v>
      </c>
      <c r="N423" s="6">
        <v>2</v>
      </c>
      <c r="O423" s="6">
        <v>1</v>
      </c>
      <c r="P423" s="7">
        <f t="shared" si="57"/>
        <v>36</v>
      </c>
      <c r="Q423" s="6">
        <v>1</v>
      </c>
      <c r="R423" s="6">
        <v>42</v>
      </c>
      <c r="S423" s="7">
        <f t="shared" si="60"/>
        <v>42</v>
      </c>
      <c r="T423" s="6"/>
      <c r="Y423" s="11"/>
      <c r="AB423" s="11"/>
      <c r="AD423" s="6"/>
      <c r="AE423" s="8" t="s">
        <v>41</v>
      </c>
    </row>
    <row r="424" spans="1:31" x14ac:dyDescent="0.25">
      <c r="A424" s="6" t="s">
        <v>1007</v>
      </c>
      <c r="B424" s="6">
        <v>6</v>
      </c>
      <c r="C424" s="6">
        <v>109</v>
      </c>
      <c r="D424" s="6">
        <v>8</v>
      </c>
      <c r="E424" s="6"/>
      <c r="F424" s="7">
        <f>(C424/(D424-E424))</f>
        <v>13.625</v>
      </c>
      <c r="G424" s="6"/>
      <c r="H424" s="6">
        <v>59</v>
      </c>
      <c r="I424" s="10" t="s">
        <v>804</v>
      </c>
      <c r="J424" s="6"/>
      <c r="K424" s="6"/>
      <c r="L424" s="6">
        <v>6</v>
      </c>
      <c r="M424" s="6">
        <v>84</v>
      </c>
      <c r="N424" s="6">
        <v>6</v>
      </c>
      <c r="O424" s="6"/>
      <c r="P424" s="7">
        <f>(M424/(N424-O424))</f>
        <v>14</v>
      </c>
      <c r="Q424" s="6"/>
      <c r="R424" s="6">
        <v>59</v>
      </c>
      <c r="S424" s="10" t="s">
        <v>804</v>
      </c>
      <c r="T424" s="6"/>
      <c r="Y424" s="11"/>
      <c r="AB424" s="11"/>
      <c r="AD424" s="6"/>
      <c r="AE424" s="8" t="s">
        <v>972</v>
      </c>
    </row>
    <row r="425" spans="1:31" x14ac:dyDescent="0.25">
      <c r="A425" s="6" t="s">
        <v>993</v>
      </c>
      <c r="B425" s="6">
        <v>101</v>
      </c>
      <c r="C425" s="6">
        <v>1482</v>
      </c>
      <c r="D425" s="6">
        <v>87</v>
      </c>
      <c r="E425" s="6">
        <v>29</v>
      </c>
      <c r="F425" s="7">
        <f t="shared" si="54"/>
        <v>25.551724137931036</v>
      </c>
      <c r="G425" s="6">
        <v>57</v>
      </c>
      <c r="H425" s="6">
        <v>1123</v>
      </c>
      <c r="I425" s="7">
        <f t="shared" si="55"/>
        <v>19.701754385964911</v>
      </c>
      <c r="J425" s="6"/>
      <c r="K425" s="6"/>
      <c r="L425" s="6"/>
      <c r="M425" s="6"/>
      <c r="N425" s="6"/>
      <c r="O425" s="6"/>
      <c r="P425" s="7"/>
      <c r="Q425" s="6"/>
      <c r="R425" s="6"/>
      <c r="S425" s="10"/>
      <c r="T425" s="6"/>
      <c r="U425" s="13">
        <v>10</v>
      </c>
      <c r="V425" s="13">
        <v>30</v>
      </c>
      <c r="W425" s="13">
        <v>5</v>
      </c>
      <c r="X425" s="13">
        <v>2</v>
      </c>
      <c r="Y425" s="11">
        <f t="shared" ref="Y425:Y447" si="61">(V425)/(W425-X425)</f>
        <v>10</v>
      </c>
      <c r="Z425" s="13">
        <v>4</v>
      </c>
      <c r="AA425" s="13">
        <v>128</v>
      </c>
      <c r="AB425" s="11">
        <f t="shared" ref="AB425" si="62">AA425/Z425</f>
        <v>32</v>
      </c>
      <c r="AD425" s="6"/>
      <c r="AE425" s="8" t="s">
        <v>1145</v>
      </c>
    </row>
    <row r="426" spans="1:31" x14ac:dyDescent="0.25">
      <c r="A426" s="6" t="s">
        <v>323</v>
      </c>
      <c r="B426" s="6">
        <v>17</v>
      </c>
      <c r="C426" s="6">
        <v>218</v>
      </c>
      <c r="D426" s="6">
        <v>20</v>
      </c>
      <c r="E426" s="6">
        <v>9</v>
      </c>
      <c r="F426" s="7">
        <f t="shared" si="54"/>
        <v>19.818181818181817</v>
      </c>
      <c r="G426" s="6">
        <v>34</v>
      </c>
      <c r="H426" s="6">
        <v>725</v>
      </c>
      <c r="I426" s="7">
        <f t="shared" si="55"/>
        <v>21.323529411764707</v>
      </c>
      <c r="J426" s="6"/>
      <c r="K426" s="6"/>
      <c r="L426" s="6"/>
      <c r="M426" s="6"/>
      <c r="N426" s="6"/>
      <c r="O426" s="6"/>
      <c r="P426" s="7"/>
      <c r="Q426" s="6"/>
      <c r="R426" s="6"/>
      <c r="S426" s="7"/>
      <c r="T426" s="6"/>
      <c r="Y426" s="11"/>
      <c r="AA426" s="6"/>
      <c r="AB426" s="11"/>
    </row>
    <row r="427" spans="1:31" x14ac:dyDescent="0.25">
      <c r="A427" s="6" t="s">
        <v>324</v>
      </c>
      <c r="B427" s="6">
        <v>30</v>
      </c>
      <c r="C427" s="6">
        <v>205</v>
      </c>
      <c r="D427" s="6">
        <v>18</v>
      </c>
      <c r="E427" s="6">
        <v>2</v>
      </c>
      <c r="F427" s="7">
        <f t="shared" si="54"/>
        <v>12.8125</v>
      </c>
      <c r="G427" s="6"/>
      <c r="H427" s="6">
        <v>7</v>
      </c>
      <c r="I427" s="7" t="e">
        <f t="shared" si="55"/>
        <v>#DIV/0!</v>
      </c>
      <c r="J427" s="6"/>
      <c r="K427" s="6"/>
      <c r="L427" s="6"/>
      <c r="M427" s="6"/>
      <c r="N427" s="6"/>
      <c r="O427" s="6"/>
      <c r="P427" s="7"/>
      <c r="Q427" s="6"/>
      <c r="R427" s="6"/>
      <c r="S427" s="7"/>
      <c r="T427" s="6"/>
      <c r="Y427" s="11"/>
      <c r="AA427" s="6"/>
      <c r="AB427" s="11"/>
    </row>
    <row r="428" spans="1:31" x14ac:dyDescent="0.25">
      <c r="A428" s="6" t="s">
        <v>1061</v>
      </c>
      <c r="B428" s="6">
        <v>8.5</v>
      </c>
      <c r="C428" s="6">
        <v>163</v>
      </c>
      <c r="D428" s="6">
        <v>12</v>
      </c>
      <c r="E428" s="6">
        <v>3</v>
      </c>
      <c r="F428" s="7">
        <f t="shared" si="54"/>
        <v>18.111111111111111</v>
      </c>
      <c r="G428" s="6">
        <v>5</v>
      </c>
      <c r="H428" s="6">
        <v>202</v>
      </c>
      <c r="I428" s="7">
        <f t="shared" si="55"/>
        <v>40.4</v>
      </c>
      <c r="J428" s="6"/>
      <c r="K428" s="6"/>
      <c r="L428" s="6"/>
      <c r="M428" s="6"/>
      <c r="N428" s="6"/>
      <c r="O428" s="6"/>
      <c r="P428" s="7"/>
      <c r="Q428" s="6"/>
      <c r="R428" s="6"/>
      <c r="S428" s="7"/>
      <c r="T428" s="6"/>
      <c r="U428" s="13">
        <v>7</v>
      </c>
      <c r="V428" s="8">
        <v>91</v>
      </c>
      <c r="W428" s="13">
        <v>5</v>
      </c>
      <c r="Y428" s="11">
        <f t="shared" si="61"/>
        <v>18.2</v>
      </c>
      <c r="AA428" s="6">
        <v>13</v>
      </c>
      <c r="AB428" s="11"/>
      <c r="AE428" s="8" t="s">
        <v>1100</v>
      </c>
    </row>
    <row r="429" spans="1:31" x14ac:dyDescent="0.25">
      <c r="A429" s="6" t="s">
        <v>1029</v>
      </c>
      <c r="B429" s="6">
        <v>1</v>
      </c>
      <c r="C429" s="6"/>
      <c r="D429" s="6">
        <v>1</v>
      </c>
      <c r="E429" s="6"/>
      <c r="F429" s="7"/>
      <c r="G429" s="6"/>
      <c r="H429" s="6"/>
      <c r="I429" s="7"/>
      <c r="J429" s="6"/>
      <c r="K429" s="6"/>
      <c r="L429" s="6"/>
      <c r="M429" s="6"/>
      <c r="N429" s="6"/>
      <c r="O429" s="6"/>
      <c r="P429" s="7"/>
      <c r="Q429" s="6"/>
      <c r="R429" s="6"/>
      <c r="S429" s="7"/>
      <c r="T429" s="6"/>
      <c r="Y429" s="11"/>
      <c r="AA429" s="6"/>
      <c r="AB429" s="11"/>
      <c r="AE429" s="8" t="s">
        <v>1028</v>
      </c>
    </row>
    <row r="430" spans="1:31" x14ac:dyDescent="0.25">
      <c r="A430" s="6" t="s">
        <v>703</v>
      </c>
      <c r="B430" s="6">
        <v>1</v>
      </c>
      <c r="C430" s="6">
        <v>5</v>
      </c>
      <c r="D430" s="6">
        <v>1</v>
      </c>
      <c r="E430" s="6"/>
      <c r="F430" s="7">
        <f t="shared" si="54"/>
        <v>5</v>
      </c>
      <c r="G430" s="6"/>
      <c r="H430" s="6">
        <v>14</v>
      </c>
      <c r="I430" s="7"/>
      <c r="J430" s="6"/>
      <c r="K430" s="6"/>
      <c r="L430" s="6">
        <v>1</v>
      </c>
      <c r="M430" s="6">
        <v>5</v>
      </c>
      <c r="N430" s="6">
        <v>1</v>
      </c>
      <c r="O430" s="6"/>
      <c r="P430" s="7">
        <f t="shared" si="57"/>
        <v>5</v>
      </c>
      <c r="Q430" s="6"/>
      <c r="R430" s="6">
        <v>14</v>
      </c>
      <c r="S430" s="7"/>
      <c r="T430" s="6"/>
      <c r="Y430" s="11"/>
      <c r="AB430" s="11"/>
      <c r="AD430" s="6"/>
      <c r="AE430" s="8" t="s">
        <v>23</v>
      </c>
    </row>
    <row r="431" spans="1:31" x14ac:dyDescent="0.25">
      <c r="A431" s="6" t="s">
        <v>325</v>
      </c>
      <c r="B431" s="6">
        <v>2</v>
      </c>
      <c r="C431" s="6">
        <v>1</v>
      </c>
      <c r="D431" s="6">
        <v>1</v>
      </c>
      <c r="E431" s="6">
        <v>1</v>
      </c>
      <c r="F431" s="7" t="e">
        <f t="shared" si="54"/>
        <v>#DIV/0!</v>
      </c>
      <c r="G431" s="6"/>
      <c r="H431" s="6"/>
      <c r="I431" s="7"/>
      <c r="J431" s="6"/>
      <c r="K431" s="6"/>
      <c r="L431" s="6"/>
      <c r="M431" s="6"/>
      <c r="N431" s="6"/>
      <c r="O431" s="6"/>
      <c r="P431" s="7"/>
      <c r="Q431" s="6"/>
      <c r="R431" s="6"/>
      <c r="S431" s="7"/>
      <c r="T431" s="6"/>
      <c r="Y431" s="11"/>
      <c r="AA431" s="6"/>
      <c r="AB431" s="11"/>
    </row>
    <row r="432" spans="1:31" x14ac:dyDescent="0.25">
      <c r="A432" s="6" t="s">
        <v>1146</v>
      </c>
      <c r="B432" s="6">
        <v>5.5</v>
      </c>
      <c r="C432" s="6">
        <v>157</v>
      </c>
      <c r="D432" s="6">
        <v>8</v>
      </c>
      <c r="E432" s="6">
        <v>1</v>
      </c>
      <c r="F432" s="7">
        <f t="shared" si="54"/>
        <v>22.428571428571427</v>
      </c>
      <c r="G432" s="6"/>
      <c r="H432" s="6"/>
      <c r="I432" s="7"/>
      <c r="J432" s="6"/>
      <c r="K432" s="6"/>
      <c r="L432" s="6"/>
      <c r="M432" s="6"/>
      <c r="N432" s="6"/>
      <c r="O432" s="6"/>
      <c r="P432" s="7"/>
      <c r="Q432" s="6"/>
      <c r="R432" s="6"/>
      <c r="S432" s="7"/>
      <c r="T432" s="6"/>
      <c r="Y432" s="11"/>
      <c r="AA432" s="6"/>
      <c r="AB432" s="11"/>
      <c r="AE432" s="8" t="s">
        <v>1147</v>
      </c>
    </row>
    <row r="433" spans="1:31" x14ac:dyDescent="0.25">
      <c r="A433" s="6" t="s">
        <v>1062</v>
      </c>
      <c r="B433" s="6">
        <v>10</v>
      </c>
      <c r="C433" s="6">
        <v>190</v>
      </c>
      <c r="D433" s="6">
        <v>10</v>
      </c>
      <c r="E433" s="6"/>
      <c r="F433" s="7">
        <f t="shared" si="54"/>
        <v>19</v>
      </c>
      <c r="G433" s="6">
        <v>2</v>
      </c>
      <c r="H433" s="6">
        <v>71</v>
      </c>
      <c r="I433" s="7">
        <f t="shared" si="55"/>
        <v>35.5</v>
      </c>
      <c r="J433" s="6"/>
      <c r="K433" s="6"/>
      <c r="L433" s="6"/>
      <c r="M433" s="6"/>
      <c r="N433" s="6"/>
      <c r="O433" s="6"/>
      <c r="P433" s="7"/>
      <c r="Q433" s="6"/>
      <c r="R433" s="6"/>
      <c r="S433" s="7"/>
      <c r="T433" s="6"/>
      <c r="Y433" s="11"/>
      <c r="AA433" s="6"/>
      <c r="AB433" s="11"/>
      <c r="AE433" s="8" t="s">
        <v>1040</v>
      </c>
    </row>
    <row r="434" spans="1:31" x14ac:dyDescent="0.25">
      <c r="A434" s="6" t="s">
        <v>856</v>
      </c>
      <c r="B434" s="6">
        <v>1</v>
      </c>
      <c r="C434" s="6"/>
      <c r="D434" s="6"/>
      <c r="E434" s="6"/>
      <c r="F434" s="7"/>
      <c r="G434" s="6">
        <v>2</v>
      </c>
      <c r="H434" s="6">
        <v>45</v>
      </c>
      <c r="I434" s="7">
        <f t="shared" si="55"/>
        <v>22.5</v>
      </c>
      <c r="J434" s="6"/>
      <c r="K434" s="6"/>
      <c r="L434" s="6"/>
      <c r="M434" s="6"/>
      <c r="N434" s="6"/>
      <c r="O434" s="6"/>
      <c r="P434" s="7"/>
      <c r="Q434" s="6"/>
      <c r="R434" s="6"/>
      <c r="S434" s="7"/>
      <c r="T434" s="6"/>
      <c r="Y434" s="11"/>
      <c r="AA434" s="6"/>
      <c r="AB434" s="11"/>
    </row>
    <row r="435" spans="1:31" x14ac:dyDescent="0.25">
      <c r="A435" s="6" t="s">
        <v>326</v>
      </c>
      <c r="B435" s="6">
        <v>161</v>
      </c>
      <c r="C435" s="6">
        <v>740</v>
      </c>
      <c r="D435" s="6">
        <v>124</v>
      </c>
      <c r="E435" s="6">
        <v>46</v>
      </c>
      <c r="F435" s="7">
        <f t="shared" si="54"/>
        <v>9.4871794871794872</v>
      </c>
      <c r="G435" s="6">
        <v>266</v>
      </c>
      <c r="H435" s="6">
        <v>5788</v>
      </c>
      <c r="I435" s="7">
        <f t="shared" si="55"/>
        <v>21.7593984962406</v>
      </c>
      <c r="J435" s="6"/>
      <c r="K435" s="6"/>
      <c r="L435" s="6">
        <v>2</v>
      </c>
      <c r="M435" s="6">
        <v>23</v>
      </c>
      <c r="N435" s="6">
        <v>2</v>
      </c>
      <c r="O435" s="6">
        <v>2</v>
      </c>
      <c r="P435" s="7"/>
      <c r="Q435" s="6">
        <v>1</v>
      </c>
      <c r="R435" s="6">
        <v>56</v>
      </c>
      <c r="S435" s="7">
        <f t="shared" si="60"/>
        <v>56</v>
      </c>
      <c r="T435" s="6"/>
      <c r="Y435" s="11"/>
      <c r="AB435" s="11"/>
      <c r="AD435" s="6"/>
      <c r="AE435" s="8" t="s">
        <v>704</v>
      </c>
    </row>
    <row r="436" spans="1:31" x14ac:dyDescent="0.25">
      <c r="A436" s="6" t="s">
        <v>327</v>
      </c>
      <c r="B436" s="6">
        <v>119</v>
      </c>
      <c r="C436" s="6">
        <v>645</v>
      </c>
      <c r="D436" s="6">
        <v>95</v>
      </c>
      <c r="E436" s="6">
        <v>30</v>
      </c>
      <c r="F436" s="7">
        <f t="shared" si="54"/>
        <v>9.9230769230769234</v>
      </c>
      <c r="G436" s="6">
        <v>156</v>
      </c>
      <c r="H436" s="6">
        <v>3671</v>
      </c>
      <c r="I436" s="7">
        <f t="shared" si="55"/>
        <v>23.532051282051281</v>
      </c>
      <c r="J436" s="6"/>
      <c r="K436" s="6"/>
      <c r="L436" s="6">
        <v>1</v>
      </c>
      <c r="M436" s="6">
        <v>7</v>
      </c>
      <c r="N436" s="6">
        <v>1</v>
      </c>
      <c r="O436" s="6">
        <v>1</v>
      </c>
      <c r="P436" s="7"/>
      <c r="Q436" s="6"/>
      <c r="R436" s="6">
        <v>29</v>
      </c>
      <c r="S436" s="7"/>
      <c r="T436" s="6"/>
      <c r="Y436" s="11"/>
      <c r="AB436" s="11"/>
      <c r="AD436" s="6"/>
      <c r="AE436" s="8" t="s">
        <v>328</v>
      </c>
    </row>
    <row r="437" spans="1:31" x14ac:dyDescent="0.25">
      <c r="A437" s="6" t="s">
        <v>705</v>
      </c>
      <c r="B437" s="6">
        <v>8.5</v>
      </c>
      <c r="C437" s="6">
        <v>82</v>
      </c>
      <c r="D437" s="6">
        <v>11</v>
      </c>
      <c r="E437" s="6">
        <v>1</v>
      </c>
      <c r="F437" s="7">
        <f t="shared" si="54"/>
        <v>8.1999999999999993</v>
      </c>
      <c r="G437" s="6">
        <v>5</v>
      </c>
      <c r="H437" s="6">
        <v>146</v>
      </c>
      <c r="I437" s="7">
        <f t="shared" si="55"/>
        <v>29.2</v>
      </c>
      <c r="J437" s="6"/>
      <c r="K437" s="6"/>
      <c r="L437" s="6">
        <v>11</v>
      </c>
      <c r="M437" s="6">
        <v>67</v>
      </c>
      <c r="N437" s="6">
        <v>10</v>
      </c>
      <c r="O437" s="6">
        <v>1</v>
      </c>
      <c r="P437" s="7">
        <f t="shared" si="57"/>
        <v>7.4444444444444446</v>
      </c>
      <c r="Q437" s="6">
        <v>5</v>
      </c>
      <c r="R437" s="6">
        <v>146</v>
      </c>
      <c r="S437" s="7">
        <f t="shared" si="60"/>
        <v>29.2</v>
      </c>
      <c r="T437" s="6"/>
      <c r="Y437" s="11"/>
      <c r="AB437" s="11"/>
      <c r="AD437" s="6"/>
      <c r="AE437" s="8" t="s">
        <v>754</v>
      </c>
    </row>
    <row r="438" spans="1:31" x14ac:dyDescent="0.25">
      <c r="A438" s="6" t="s">
        <v>706</v>
      </c>
      <c r="B438" s="6">
        <v>1</v>
      </c>
      <c r="C438" s="6"/>
      <c r="D438" s="6">
        <v>1</v>
      </c>
      <c r="E438" s="6"/>
      <c r="F438" s="7"/>
      <c r="G438" s="6"/>
      <c r="H438" s="6">
        <v>3</v>
      </c>
      <c r="I438" s="7"/>
      <c r="J438" s="6"/>
      <c r="K438" s="6"/>
      <c r="L438" s="6">
        <v>1</v>
      </c>
      <c r="M438" s="6"/>
      <c r="N438" s="6">
        <v>1</v>
      </c>
      <c r="O438" s="6"/>
      <c r="P438" s="7"/>
      <c r="Q438" s="6"/>
      <c r="R438" s="6">
        <v>3</v>
      </c>
      <c r="S438" s="7"/>
      <c r="T438" s="6"/>
      <c r="Y438" s="11"/>
      <c r="AB438" s="11"/>
      <c r="AD438" s="6"/>
      <c r="AE438" s="8" t="s">
        <v>23</v>
      </c>
    </row>
    <row r="439" spans="1:31" x14ac:dyDescent="0.25">
      <c r="A439" s="6" t="s">
        <v>729</v>
      </c>
      <c r="B439" s="6">
        <v>3.5</v>
      </c>
      <c r="C439" s="6">
        <v>36</v>
      </c>
      <c r="D439" s="6">
        <v>3</v>
      </c>
      <c r="E439" s="6">
        <v>1</v>
      </c>
      <c r="F439" s="7">
        <f t="shared" si="54"/>
        <v>18</v>
      </c>
      <c r="G439" s="6">
        <v>4</v>
      </c>
      <c r="H439" s="6">
        <v>122</v>
      </c>
      <c r="I439" s="7">
        <f t="shared" si="55"/>
        <v>30.5</v>
      </c>
      <c r="J439" s="6"/>
      <c r="K439" s="6"/>
      <c r="L439" s="6">
        <v>5</v>
      </c>
      <c r="M439" s="6">
        <v>36</v>
      </c>
      <c r="N439" s="6">
        <v>3</v>
      </c>
      <c r="O439" s="6">
        <v>1</v>
      </c>
      <c r="P439" s="7">
        <f t="shared" si="57"/>
        <v>18</v>
      </c>
      <c r="Q439" s="6">
        <v>4</v>
      </c>
      <c r="R439" s="6">
        <v>122</v>
      </c>
      <c r="S439" s="7">
        <f t="shared" si="60"/>
        <v>30.5</v>
      </c>
      <c r="T439" s="6"/>
      <c r="Y439" s="11"/>
      <c r="AB439" s="11"/>
      <c r="AD439" s="6"/>
      <c r="AE439" s="8" t="s">
        <v>692</v>
      </c>
    </row>
    <row r="440" spans="1:31" x14ac:dyDescent="0.25">
      <c r="A440" s="6" t="s">
        <v>329</v>
      </c>
      <c r="B440" s="6">
        <v>16</v>
      </c>
      <c r="C440" s="6">
        <v>88</v>
      </c>
      <c r="D440" s="6">
        <v>14</v>
      </c>
      <c r="E440" s="6">
        <v>3</v>
      </c>
      <c r="F440" s="7">
        <f t="shared" si="54"/>
        <v>8</v>
      </c>
      <c r="G440" s="6">
        <v>36</v>
      </c>
      <c r="H440" s="6">
        <v>460</v>
      </c>
      <c r="I440" s="7">
        <f t="shared" si="55"/>
        <v>12.777777777777779</v>
      </c>
      <c r="J440" s="6"/>
      <c r="K440" s="6"/>
      <c r="L440" s="6"/>
      <c r="M440" s="6"/>
      <c r="N440" s="6"/>
      <c r="O440" s="6"/>
      <c r="P440" s="7"/>
      <c r="Q440" s="6"/>
      <c r="R440" s="6"/>
      <c r="S440" s="7"/>
      <c r="T440" s="6"/>
      <c r="Y440" s="11"/>
      <c r="AA440" s="6"/>
      <c r="AB440" s="11"/>
    </row>
    <row r="441" spans="1:31" x14ac:dyDescent="0.25">
      <c r="A441" s="6" t="s">
        <v>1030</v>
      </c>
      <c r="B441" s="6">
        <v>1</v>
      </c>
      <c r="C441" s="6">
        <v>16</v>
      </c>
      <c r="D441" s="6">
        <v>1</v>
      </c>
      <c r="E441" s="6">
        <v>1</v>
      </c>
      <c r="F441" s="7"/>
      <c r="G441" s="6"/>
      <c r="H441" s="6">
        <v>3</v>
      </c>
      <c r="I441" s="7"/>
      <c r="J441" s="6"/>
      <c r="K441" s="6"/>
      <c r="L441" s="6"/>
      <c r="M441" s="6"/>
      <c r="N441" s="6"/>
      <c r="O441" s="6"/>
      <c r="P441" s="7"/>
      <c r="Q441" s="6"/>
      <c r="R441" s="6"/>
      <c r="S441" s="7"/>
      <c r="T441" s="6"/>
      <c r="Y441" s="11"/>
      <c r="AA441" s="6"/>
      <c r="AB441" s="11"/>
      <c r="AE441" s="8" t="s">
        <v>1028</v>
      </c>
    </row>
    <row r="442" spans="1:31" x14ac:dyDescent="0.25">
      <c r="A442" s="6" t="s">
        <v>1031</v>
      </c>
      <c r="B442" s="6">
        <v>5</v>
      </c>
      <c r="C442" s="6"/>
      <c r="D442" s="6">
        <v>1</v>
      </c>
      <c r="E442" s="6"/>
      <c r="F442" s="7"/>
      <c r="G442" s="6">
        <v>8</v>
      </c>
      <c r="H442" s="6">
        <v>90</v>
      </c>
      <c r="I442" s="7">
        <f t="shared" si="55"/>
        <v>11.25</v>
      </c>
      <c r="J442" s="6"/>
      <c r="K442" s="6"/>
      <c r="L442" s="6"/>
      <c r="M442" s="6"/>
      <c r="N442" s="6"/>
      <c r="O442" s="6"/>
      <c r="P442" s="7"/>
      <c r="Q442" s="6"/>
      <c r="R442" s="6"/>
      <c r="S442" s="7"/>
      <c r="T442" s="6"/>
      <c r="U442" s="8"/>
      <c r="V442" s="8"/>
      <c r="W442" s="8"/>
      <c r="X442" s="8"/>
      <c r="Y442" s="8"/>
      <c r="Z442" s="8"/>
      <c r="AA442" s="8"/>
      <c r="AB442" s="8"/>
      <c r="AE442" s="8" t="s">
        <v>1032</v>
      </c>
    </row>
    <row r="443" spans="1:31" x14ac:dyDescent="0.25">
      <c r="A443" s="6" t="s">
        <v>330</v>
      </c>
      <c r="B443" s="6">
        <v>1</v>
      </c>
      <c r="C443" s="6">
        <v>90</v>
      </c>
      <c r="D443" s="6">
        <v>2</v>
      </c>
      <c r="E443" s="6"/>
      <c r="F443" s="7">
        <f t="shared" si="54"/>
        <v>45</v>
      </c>
      <c r="G443" s="6"/>
      <c r="H443" s="6">
        <v>12</v>
      </c>
      <c r="I443" s="7"/>
      <c r="J443" s="6"/>
      <c r="K443" s="6"/>
      <c r="L443" s="6"/>
      <c r="M443" s="6"/>
      <c r="N443" s="6"/>
      <c r="O443" s="6"/>
      <c r="P443" s="7"/>
      <c r="Q443" s="6"/>
      <c r="R443" s="6"/>
      <c r="S443" s="7"/>
      <c r="T443" s="6"/>
      <c r="Y443" s="11"/>
      <c r="AA443" s="6"/>
      <c r="AB443" s="11"/>
    </row>
    <row r="444" spans="1:31" x14ac:dyDescent="0.25">
      <c r="A444" s="6" t="s">
        <v>331</v>
      </c>
      <c r="B444" s="6">
        <v>12</v>
      </c>
      <c r="C444" s="6">
        <v>217</v>
      </c>
      <c r="D444" s="6">
        <v>11</v>
      </c>
      <c r="E444" s="6">
        <v>2</v>
      </c>
      <c r="F444" s="7">
        <f t="shared" si="54"/>
        <v>24.111111111111111</v>
      </c>
      <c r="G444" s="6">
        <v>9</v>
      </c>
      <c r="H444" s="6">
        <v>306</v>
      </c>
      <c r="I444" s="7">
        <f t="shared" si="55"/>
        <v>34</v>
      </c>
      <c r="J444" s="6"/>
      <c r="K444" s="6"/>
      <c r="L444" s="6"/>
      <c r="M444" s="6"/>
      <c r="N444" s="6"/>
      <c r="O444" s="6"/>
      <c r="P444" s="7"/>
      <c r="Q444" s="6"/>
      <c r="R444" s="6"/>
      <c r="S444" s="7"/>
      <c r="T444" s="6"/>
      <c r="Y444" s="11"/>
      <c r="AA444" s="6"/>
      <c r="AB444" s="11"/>
    </row>
    <row r="445" spans="1:31" x14ac:dyDescent="0.25">
      <c r="A445" s="6" t="s">
        <v>755</v>
      </c>
      <c r="B445" s="6">
        <v>1</v>
      </c>
      <c r="C445" s="6">
        <v>4</v>
      </c>
      <c r="D445" s="6">
        <v>1</v>
      </c>
      <c r="E445" s="6"/>
      <c r="F445" s="7">
        <f t="shared" si="54"/>
        <v>4</v>
      </c>
      <c r="G445" s="6">
        <v>2</v>
      </c>
      <c r="H445" s="6">
        <v>29</v>
      </c>
      <c r="I445" s="7">
        <f t="shared" si="55"/>
        <v>14.5</v>
      </c>
      <c r="J445" s="6"/>
      <c r="K445" s="6"/>
      <c r="L445" s="6">
        <v>1</v>
      </c>
      <c r="M445" s="6">
        <v>4</v>
      </c>
      <c r="N445" s="6">
        <v>1</v>
      </c>
      <c r="O445" s="6"/>
      <c r="P445" s="7">
        <f t="shared" si="57"/>
        <v>4</v>
      </c>
      <c r="Q445" s="6">
        <v>2</v>
      </c>
      <c r="R445" s="6">
        <v>29</v>
      </c>
      <c r="S445" s="7">
        <f t="shared" si="60"/>
        <v>14.5</v>
      </c>
      <c r="T445" s="6"/>
      <c r="Y445" s="11"/>
      <c r="AB445" s="11"/>
      <c r="AD445" s="6"/>
      <c r="AE445" s="8" t="s">
        <v>23</v>
      </c>
    </row>
    <row r="446" spans="1:31" x14ac:dyDescent="0.25">
      <c r="A446" s="6" t="s">
        <v>820</v>
      </c>
      <c r="B446" s="6">
        <v>2</v>
      </c>
      <c r="C446" s="6"/>
      <c r="D446" s="6">
        <v>2</v>
      </c>
      <c r="E446" s="6"/>
      <c r="F446" s="10" t="s">
        <v>804</v>
      </c>
      <c r="G446" s="6"/>
      <c r="H446" s="6">
        <v>27</v>
      </c>
      <c r="I446" s="10" t="s">
        <v>804</v>
      </c>
      <c r="J446" s="6"/>
      <c r="K446" s="6"/>
      <c r="L446" s="6">
        <v>2</v>
      </c>
      <c r="M446" s="6"/>
      <c r="N446" s="6">
        <v>2</v>
      </c>
      <c r="O446" s="6"/>
      <c r="P446" s="10" t="s">
        <v>804</v>
      </c>
      <c r="Q446" s="6"/>
      <c r="R446" s="6">
        <v>27</v>
      </c>
      <c r="S446" s="10" t="s">
        <v>804</v>
      </c>
      <c r="T446" s="6"/>
      <c r="Y446" s="11"/>
      <c r="AB446" s="11"/>
      <c r="AD446" s="6"/>
      <c r="AE446" s="8" t="s">
        <v>41</v>
      </c>
    </row>
    <row r="447" spans="1:31" x14ac:dyDescent="0.25">
      <c r="A447" s="6" t="s">
        <v>1101</v>
      </c>
      <c r="B447" s="6">
        <v>0.5</v>
      </c>
      <c r="C447" s="6">
        <v>10</v>
      </c>
      <c r="D447" s="6">
        <v>1</v>
      </c>
      <c r="E447" s="6"/>
      <c r="F447" s="7">
        <f t="shared" si="54"/>
        <v>10</v>
      </c>
      <c r="G447" s="6"/>
      <c r="H447" s="6"/>
      <c r="I447" s="10"/>
      <c r="J447" s="6"/>
      <c r="K447" s="6"/>
      <c r="L447" s="6"/>
      <c r="M447" s="6"/>
      <c r="N447" s="6"/>
      <c r="O447" s="6"/>
      <c r="P447" s="10"/>
      <c r="Q447" s="6"/>
      <c r="R447" s="6"/>
      <c r="S447" s="10"/>
      <c r="T447" s="6"/>
      <c r="U447" s="13">
        <v>1</v>
      </c>
      <c r="V447" s="13">
        <v>10</v>
      </c>
      <c r="W447" s="13">
        <v>1</v>
      </c>
      <c r="Y447" s="11">
        <f t="shared" si="61"/>
        <v>10</v>
      </c>
      <c r="AB447" s="11"/>
      <c r="AD447" s="6"/>
      <c r="AE447" s="8" t="s">
        <v>939</v>
      </c>
    </row>
    <row r="448" spans="1:31" x14ac:dyDescent="0.25">
      <c r="A448" s="6" t="s">
        <v>707</v>
      </c>
      <c r="B448" s="6">
        <v>1</v>
      </c>
      <c r="C448" s="6">
        <v>5</v>
      </c>
      <c r="D448" s="6">
        <v>1</v>
      </c>
      <c r="E448" s="6"/>
      <c r="F448" s="7">
        <f t="shared" si="54"/>
        <v>5</v>
      </c>
      <c r="G448" s="6"/>
      <c r="H448" s="6">
        <v>19</v>
      </c>
      <c r="I448" s="7"/>
      <c r="J448" s="6"/>
      <c r="K448" s="6"/>
      <c r="L448" s="6">
        <v>1</v>
      </c>
      <c r="M448" s="6">
        <v>5</v>
      </c>
      <c r="N448" s="6">
        <v>1</v>
      </c>
      <c r="O448" s="6"/>
      <c r="P448" s="7">
        <f t="shared" si="57"/>
        <v>5</v>
      </c>
      <c r="Q448" s="6"/>
      <c r="R448" s="6">
        <v>19</v>
      </c>
      <c r="S448" s="7"/>
      <c r="T448" s="6"/>
      <c r="Y448" s="11"/>
      <c r="AB448" s="11"/>
      <c r="AD448" s="6"/>
      <c r="AE448" s="8" t="s">
        <v>1102</v>
      </c>
    </row>
    <row r="449" spans="1:31" x14ac:dyDescent="0.25">
      <c r="A449" s="6" t="s">
        <v>332</v>
      </c>
      <c r="B449" s="6">
        <v>9.5</v>
      </c>
      <c r="C449" s="6">
        <v>131</v>
      </c>
      <c r="D449" s="6">
        <v>13</v>
      </c>
      <c r="E449" s="6">
        <v>2</v>
      </c>
      <c r="F449" s="7">
        <f t="shared" si="54"/>
        <v>11.909090909090908</v>
      </c>
      <c r="G449" s="6">
        <v>16</v>
      </c>
      <c r="H449" s="6">
        <v>483</v>
      </c>
      <c r="I449" s="7">
        <f t="shared" si="55"/>
        <v>30.1875</v>
      </c>
      <c r="J449" s="6"/>
      <c r="K449" s="6"/>
      <c r="L449" s="6">
        <v>15</v>
      </c>
      <c r="M449" s="6">
        <v>131</v>
      </c>
      <c r="N449" s="6">
        <v>13</v>
      </c>
      <c r="O449" s="6">
        <v>2</v>
      </c>
      <c r="P449" s="7">
        <f t="shared" si="57"/>
        <v>11.909090909090908</v>
      </c>
      <c r="Q449" s="6">
        <v>16</v>
      </c>
      <c r="R449" s="6">
        <v>483</v>
      </c>
      <c r="S449" s="7">
        <f t="shared" si="60"/>
        <v>30.1875</v>
      </c>
      <c r="T449" s="6"/>
      <c r="Y449" s="11"/>
      <c r="AB449" s="11"/>
      <c r="AD449" s="6"/>
      <c r="AE449" s="8" t="s">
        <v>333</v>
      </c>
    </row>
    <row r="450" spans="1:31" x14ac:dyDescent="0.25">
      <c r="A450" s="6" t="s">
        <v>1033</v>
      </c>
      <c r="B450" s="6">
        <v>2</v>
      </c>
      <c r="C450" s="6">
        <v>50</v>
      </c>
      <c r="D450" s="6">
        <v>1</v>
      </c>
      <c r="E450" s="6">
        <v>1</v>
      </c>
      <c r="F450" s="7"/>
      <c r="G450" s="6"/>
      <c r="H450" s="6"/>
      <c r="I450" s="7"/>
      <c r="J450" s="6"/>
      <c r="K450" s="6"/>
      <c r="L450" s="6"/>
      <c r="M450" s="6"/>
      <c r="N450" s="6"/>
      <c r="O450" s="6"/>
      <c r="P450" s="7"/>
      <c r="Q450" s="6"/>
      <c r="R450" s="6"/>
      <c r="S450" s="7"/>
      <c r="T450" s="6"/>
      <c r="Y450" s="11"/>
      <c r="AB450" s="11"/>
      <c r="AD450" s="6"/>
      <c r="AE450" s="6" t="s">
        <v>1021</v>
      </c>
    </row>
    <row r="451" spans="1:31" x14ac:dyDescent="0.25">
      <c r="A451" s="6" t="s">
        <v>1034</v>
      </c>
      <c r="B451" s="6">
        <v>1</v>
      </c>
      <c r="C451" s="6">
        <v>36</v>
      </c>
      <c r="D451" s="6">
        <v>1</v>
      </c>
      <c r="E451" s="6">
        <v>1</v>
      </c>
      <c r="F451" s="7"/>
      <c r="G451" s="6"/>
      <c r="H451" s="6">
        <v>6</v>
      </c>
      <c r="I451" s="7"/>
      <c r="J451" s="6"/>
      <c r="K451" s="6"/>
      <c r="L451" s="6"/>
      <c r="M451" s="6"/>
      <c r="N451" s="6"/>
      <c r="O451" s="6"/>
      <c r="P451" s="7"/>
      <c r="Q451" s="6"/>
      <c r="R451" s="6"/>
      <c r="S451" s="7"/>
      <c r="T451" s="6"/>
      <c r="Y451" s="11"/>
      <c r="AB451" s="11"/>
      <c r="AD451" s="6"/>
      <c r="AE451" s="8" t="s">
        <v>1028</v>
      </c>
    </row>
    <row r="452" spans="1:31" x14ac:dyDescent="0.25">
      <c r="A452" s="6" t="s">
        <v>789</v>
      </c>
      <c r="B452" s="6">
        <v>151</v>
      </c>
      <c r="C452" s="6">
        <v>2405</v>
      </c>
      <c r="D452" s="6">
        <v>141</v>
      </c>
      <c r="E452" s="6">
        <v>21</v>
      </c>
      <c r="F452" s="7">
        <f t="shared" si="54"/>
        <v>20.041666666666668</v>
      </c>
      <c r="G452" s="6">
        <v>154</v>
      </c>
      <c r="H452" s="6">
        <v>4411</v>
      </c>
      <c r="I452" s="7">
        <f t="shared" si="55"/>
        <v>28.642857142857142</v>
      </c>
      <c r="J452" s="6"/>
      <c r="K452" s="6"/>
      <c r="L452" s="6"/>
      <c r="M452" s="6"/>
      <c r="N452" s="6"/>
      <c r="O452" s="6"/>
      <c r="P452" s="7"/>
      <c r="Q452" s="6"/>
      <c r="R452" s="6"/>
      <c r="S452" s="7"/>
      <c r="T452" s="6"/>
      <c r="U452" s="6">
        <v>38</v>
      </c>
      <c r="V452" s="6">
        <v>525</v>
      </c>
      <c r="W452" s="6">
        <v>31</v>
      </c>
      <c r="X452" s="8">
        <v>9</v>
      </c>
      <c r="Y452" s="11">
        <f t="shared" ref="Y452:Y512" si="63">(V452)/(W452-X452)</f>
        <v>23.863636363636363</v>
      </c>
      <c r="Z452" s="6">
        <v>24</v>
      </c>
      <c r="AA452" s="6">
        <v>554</v>
      </c>
      <c r="AB452" s="7">
        <f t="shared" ref="AB452" si="64">AA452/Z452</f>
        <v>23.083333333333332</v>
      </c>
      <c r="AC452" s="8"/>
      <c r="AD452" s="6"/>
      <c r="AE452" s="13" t="s">
        <v>1110</v>
      </c>
    </row>
    <row r="453" spans="1:31" x14ac:dyDescent="0.25">
      <c r="A453" s="6" t="s">
        <v>730</v>
      </c>
      <c r="B453" s="6">
        <v>4</v>
      </c>
      <c r="C453" s="6">
        <v>22</v>
      </c>
      <c r="D453" s="6">
        <v>5</v>
      </c>
      <c r="E453" s="6">
        <v>2</v>
      </c>
      <c r="F453" s="7">
        <f t="shared" si="54"/>
        <v>7.333333333333333</v>
      </c>
      <c r="G453" s="6">
        <v>6</v>
      </c>
      <c r="H453" s="6">
        <v>174</v>
      </c>
      <c r="I453" s="7">
        <f t="shared" si="55"/>
        <v>29</v>
      </c>
      <c r="J453" s="6"/>
      <c r="K453" s="6"/>
      <c r="L453" s="6">
        <v>6</v>
      </c>
      <c r="M453" s="6">
        <v>22</v>
      </c>
      <c r="N453" s="6">
        <v>5</v>
      </c>
      <c r="O453" s="6">
        <v>2</v>
      </c>
      <c r="P453" s="7">
        <f t="shared" si="57"/>
        <v>7.333333333333333</v>
      </c>
      <c r="Q453" s="6">
        <v>6</v>
      </c>
      <c r="R453" s="6">
        <v>174</v>
      </c>
      <c r="S453" s="7">
        <f t="shared" si="60"/>
        <v>29</v>
      </c>
      <c r="T453" s="6"/>
      <c r="Y453" s="11"/>
      <c r="AB453" s="11"/>
      <c r="AD453" s="6"/>
      <c r="AE453" s="8" t="s">
        <v>57</v>
      </c>
    </row>
    <row r="454" spans="1:31" x14ac:dyDescent="0.25">
      <c r="A454" s="6" t="s">
        <v>666</v>
      </c>
      <c r="B454" s="6">
        <v>28</v>
      </c>
      <c r="C454" s="6">
        <v>185</v>
      </c>
      <c r="D454" s="6">
        <v>23</v>
      </c>
      <c r="E454" s="6">
        <v>5</v>
      </c>
      <c r="F454" s="7">
        <f t="shared" si="54"/>
        <v>10.277777777777779</v>
      </c>
      <c r="G454" s="6">
        <v>28</v>
      </c>
      <c r="H454" s="6">
        <v>540</v>
      </c>
      <c r="I454" s="7">
        <f t="shared" si="55"/>
        <v>19.285714285714285</v>
      </c>
      <c r="J454" s="6"/>
      <c r="K454" s="6"/>
      <c r="L454" s="6"/>
      <c r="M454" s="6"/>
      <c r="N454" s="6"/>
      <c r="O454" s="6"/>
      <c r="P454" s="7"/>
      <c r="Q454" s="6"/>
      <c r="R454" s="6"/>
      <c r="S454" s="7"/>
      <c r="T454" s="6"/>
      <c r="Y454" s="11"/>
      <c r="AA454" s="6"/>
      <c r="AB454" s="11"/>
    </row>
    <row r="455" spans="1:31" x14ac:dyDescent="0.25">
      <c r="A455" s="6" t="s">
        <v>334</v>
      </c>
      <c r="B455" s="6">
        <v>13</v>
      </c>
      <c r="C455" s="6">
        <v>222</v>
      </c>
      <c r="D455" s="6">
        <v>13</v>
      </c>
      <c r="E455" s="6">
        <v>2</v>
      </c>
      <c r="F455" s="7">
        <f t="shared" si="54"/>
        <v>20.181818181818183</v>
      </c>
      <c r="G455" s="6">
        <v>11</v>
      </c>
      <c r="H455" s="6">
        <v>287</v>
      </c>
      <c r="I455" s="7">
        <f t="shared" si="55"/>
        <v>26.09090909090909</v>
      </c>
      <c r="J455" s="6"/>
      <c r="K455" s="6"/>
      <c r="L455" s="6"/>
      <c r="M455" s="6"/>
      <c r="N455" s="6"/>
      <c r="O455" s="6"/>
      <c r="P455" s="7"/>
      <c r="Q455" s="6"/>
      <c r="R455" s="6"/>
      <c r="S455" s="7"/>
      <c r="T455" s="6"/>
      <c r="Y455" s="11"/>
      <c r="AA455" s="6"/>
      <c r="AB455" s="11"/>
    </row>
    <row r="456" spans="1:31" x14ac:dyDescent="0.25">
      <c r="A456" s="6" t="s">
        <v>857</v>
      </c>
      <c r="B456" s="6">
        <v>8</v>
      </c>
      <c r="C456" s="6">
        <v>174</v>
      </c>
      <c r="D456" s="6">
        <v>8</v>
      </c>
      <c r="E456" s="6">
        <v>1</v>
      </c>
      <c r="F456" s="7">
        <f t="shared" si="54"/>
        <v>24.857142857142858</v>
      </c>
      <c r="G456" s="6">
        <v>1</v>
      </c>
      <c r="H456" s="6">
        <v>122</v>
      </c>
      <c r="I456" s="7">
        <f t="shared" si="55"/>
        <v>122</v>
      </c>
      <c r="J456" s="6"/>
      <c r="K456" s="6"/>
      <c r="L456" s="6"/>
      <c r="M456" s="6"/>
      <c r="N456" s="6"/>
      <c r="O456" s="6"/>
      <c r="P456" s="7"/>
      <c r="Q456" s="6"/>
      <c r="R456" s="6"/>
      <c r="S456" s="7"/>
      <c r="T456" s="6"/>
      <c r="Y456" s="11"/>
      <c r="AA456" s="6"/>
      <c r="AB456" s="11"/>
    </row>
    <row r="457" spans="1:31" x14ac:dyDescent="0.25">
      <c r="A457" s="6" t="s">
        <v>644</v>
      </c>
      <c r="B457" s="6">
        <v>9</v>
      </c>
      <c r="C457" s="6">
        <v>106</v>
      </c>
      <c r="D457" s="6">
        <v>9</v>
      </c>
      <c r="E457" s="6">
        <v>2</v>
      </c>
      <c r="F457" s="7">
        <f t="shared" si="54"/>
        <v>15.142857142857142</v>
      </c>
      <c r="G457" s="6">
        <v>14</v>
      </c>
      <c r="H457" s="6">
        <v>226</v>
      </c>
      <c r="I457" s="7">
        <f t="shared" si="55"/>
        <v>16.142857142857142</v>
      </c>
      <c r="J457" s="6"/>
      <c r="K457" s="6"/>
      <c r="L457" s="6">
        <v>1</v>
      </c>
      <c r="M457" s="6"/>
      <c r="N457" s="6"/>
      <c r="O457" s="6"/>
      <c r="P457" s="7"/>
      <c r="Q457" s="6"/>
      <c r="R457" s="6">
        <v>23</v>
      </c>
      <c r="S457" s="7"/>
      <c r="T457" s="6"/>
      <c r="Y457" s="11"/>
      <c r="AB457" s="11"/>
      <c r="AD457" s="6"/>
      <c r="AE457" s="8" t="s">
        <v>667</v>
      </c>
    </row>
    <row r="458" spans="1:31" x14ac:dyDescent="0.25">
      <c r="A458" s="6" t="s">
        <v>994</v>
      </c>
      <c r="B458" s="6">
        <v>25</v>
      </c>
      <c r="C458" s="6">
        <v>549</v>
      </c>
      <c r="D458" s="6">
        <v>20</v>
      </c>
      <c r="E458" s="6">
        <v>2</v>
      </c>
      <c r="F458" s="7">
        <f>(C458/(D458-E458))</f>
        <v>30.5</v>
      </c>
      <c r="G458" s="6">
        <v>7</v>
      </c>
      <c r="H458" s="6">
        <v>354</v>
      </c>
      <c r="I458" s="7">
        <f>(H458/G458)</f>
        <v>50.571428571428569</v>
      </c>
      <c r="J458" s="6"/>
      <c r="K458" s="6"/>
      <c r="L458" s="6"/>
      <c r="M458" s="6"/>
      <c r="N458" s="6"/>
      <c r="O458" s="6"/>
      <c r="P458" s="7"/>
      <c r="Q458" s="6"/>
      <c r="R458" s="6"/>
      <c r="S458" s="7"/>
      <c r="T458" s="6"/>
      <c r="U458" s="13">
        <v>2</v>
      </c>
      <c r="V458" s="13">
        <v>18</v>
      </c>
      <c r="W458" s="13">
        <v>2</v>
      </c>
      <c r="X458" s="13">
        <v>1</v>
      </c>
      <c r="Y458" s="11">
        <f t="shared" si="63"/>
        <v>18</v>
      </c>
      <c r="Z458" s="13"/>
      <c r="AA458" s="13" t="s">
        <v>1035</v>
      </c>
      <c r="AB458" s="13"/>
      <c r="AE458" s="13" t="s">
        <v>1103</v>
      </c>
    </row>
    <row r="459" spans="1:31" x14ac:dyDescent="0.25">
      <c r="A459" s="6" t="s">
        <v>335</v>
      </c>
      <c r="B459" s="6">
        <v>4</v>
      </c>
      <c r="C459" s="6">
        <v>20</v>
      </c>
      <c r="D459" s="6">
        <v>4</v>
      </c>
      <c r="E459" s="6">
        <v>2</v>
      </c>
      <c r="F459" s="7">
        <f t="shared" si="54"/>
        <v>10</v>
      </c>
      <c r="G459" s="6"/>
      <c r="H459" s="6"/>
      <c r="I459" s="7"/>
      <c r="J459" s="6"/>
      <c r="K459" s="6"/>
      <c r="L459" s="6"/>
      <c r="M459" s="6"/>
      <c r="N459" s="6"/>
      <c r="O459" s="6"/>
      <c r="P459" s="7"/>
      <c r="Q459" s="6"/>
      <c r="R459" s="6"/>
      <c r="S459" s="7"/>
      <c r="T459" s="6"/>
      <c r="Y459" s="11"/>
      <c r="AA459" s="6"/>
      <c r="AB459" s="11"/>
    </row>
    <row r="460" spans="1:31" x14ac:dyDescent="0.25">
      <c r="A460" s="6" t="s">
        <v>973</v>
      </c>
      <c r="B460" s="6">
        <v>54.5</v>
      </c>
      <c r="C460" s="6">
        <v>1102</v>
      </c>
      <c r="D460" s="6">
        <v>53</v>
      </c>
      <c r="E460" s="6">
        <v>7</v>
      </c>
      <c r="F460" s="7">
        <f>(C460/(D460-E460))</f>
        <v>23.956521739130434</v>
      </c>
      <c r="G460" s="6">
        <v>50</v>
      </c>
      <c r="H460" s="6">
        <v>1525</v>
      </c>
      <c r="I460" s="7">
        <f>(H460/G460)</f>
        <v>30.5</v>
      </c>
      <c r="J460" s="6"/>
      <c r="K460" s="6"/>
      <c r="L460" s="6"/>
      <c r="M460" s="6"/>
      <c r="N460" s="6"/>
      <c r="O460" s="6"/>
      <c r="P460" s="7"/>
      <c r="Q460" s="6"/>
      <c r="R460" s="6"/>
      <c r="S460" s="10"/>
      <c r="T460" s="6"/>
      <c r="U460" s="13">
        <v>17</v>
      </c>
      <c r="V460" s="13">
        <v>289</v>
      </c>
      <c r="W460" s="13">
        <v>13</v>
      </c>
      <c r="X460" s="8">
        <v>1</v>
      </c>
      <c r="Y460" s="11">
        <f>(V460)/(W460-X460)</f>
        <v>24.083333333333332</v>
      </c>
      <c r="Z460" s="13">
        <v>14</v>
      </c>
      <c r="AA460" s="13">
        <v>435</v>
      </c>
      <c r="AB460" s="11">
        <f>AA460/Z460</f>
        <v>31.071428571428573</v>
      </c>
      <c r="AD460" s="6"/>
      <c r="AE460" s="8" t="s">
        <v>1148</v>
      </c>
    </row>
    <row r="461" spans="1:31" x14ac:dyDescent="0.25">
      <c r="A461" s="6" t="s">
        <v>336</v>
      </c>
      <c r="B461" s="6">
        <v>13</v>
      </c>
      <c r="C461" s="6">
        <v>108</v>
      </c>
      <c r="D461" s="6">
        <v>14</v>
      </c>
      <c r="E461" s="6">
        <v>1</v>
      </c>
      <c r="F461" s="7">
        <f t="shared" si="54"/>
        <v>8.3076923076923084</v>
      </c>
      <c r="G461" s="6">
        <v>13</v>
      </c>
      <c r="H461" s="6">
        <v>277</v>
      </c>
      <c r="I461" s="7">
        <f t="shared" si="55"/>
        <v>21.307692307692307</v>
      </c>
      <c r="J461" s="6"/>
      <c r="K461" s="6"/>
      <c r="L461" s="6"/>
      <c r="M461" s="6"/>
      <c r="N461" s="6"/>
      <c r="O461" s="6"/>
      <c r="P461" s="7"/>
      <c r="Q461" s="6"/>
      <c r="R461" s="6"/>
      <c r="S461" s="7"/>
      <c r="T461" s="6"/>
      <c r="Y461" s="11"/>
      <c r="AA461" s="6"/>
      <c r="AB461" s="11"/>
    </row>
    <row r="462" spans="1:31" x14ac:dyDescent="0.25">
      <c r="A462" s="6" t="s">
        <v>708</v>
      </c>
      <c r="B462" s="6">
        <v>35</v>
      </c>
      <c r="C462" s="6">
        <v>167</v>
      </c>
      <c r="D462" s="6">
        <v>29</v>
      </c>
      <c r="E462" s="6">
        <v>7</v>
      </c>
      <c r="F462" s="7">
        <f t="shared" si="54"/>
        <v>7.5909090909090908</v>
      </c>
      <c r="G462" s="6">
        <v>25</v>
      </c>
      <c r="H462" s="6">
        <v>646</v>
      </c>
      <c r="I462" s="7">
        <f t="shared" si="55"/>
        <v>25.84</v>
      </c>
      <c r="J462" s="6"/>
      <c r="K462" s="6"/>
      <c r="L462" s="6">
        <v>8</v>
      </c>
      <c r="M462" s="6">
        <v>24</v>
      </c>
      <c r="N462" s="6">
        <v>5</v>
      </c>
      <c r="O462" s="6"/>
      <c r="P462" s="7">
        <f t="shared" si="57"/>
        <v>4.8</v>
      </c>
      <c r="Q462" s="6">
        <v>2</v>
      </c>
      <c r="R462" s="6">
        <v>119</v>
      </c>
      <c r="S462" s="7">
        <f t="shared" si="60"/>
        <v>59.5</v>
      </c>
      <c r="T462" s="6"/>
      <c r="Y462" s="11"/>
      <c r="AB462" s="11"/>
      <c r="AD462" s="6"/>
      <c r="AE462" s="8" t="s">
        <v>869</v>
      </c>
    </row>
    <row r="463" spans="1:31" x14ac:dyDescent="0.25">
      <c r="A463" s="6" t="s">
        <v>709</v>
      </c>
      <c r="B463" s="6">
        <v>2</v>
      </c>
      <c r="C463" s="6"/>
      <c r="D463" s="6">
        <v>2</v>
      </c>
      <c r="E463" s="6"/>
      <c r="F463" s="7"/>
      <c r="G463" s="6"/>
      <c r="H463" s="6">
        <v>37</v>
      </c>
      <c r="I463" s="10" t="s">
        <v>804</v>
      </c>
      <c r="J463" s="6"/>
      <c r="K463" s="6"/>
      <c r="L463" s="6">
        <v>2</v>
      </c>
      <c r="M463" s="6"/>
      <c r="N463" s="6">
        <v>2</v>
      </c>
      <c r="O463" s="6"/>
      <c r="P463" s="7"/>
      <c r="Q463" s="6"/>
      <c r="R463" s="6">
        <v>37</v>
      </c>
      <c r="S463" s="10" t="s">
        <v>804</v>
      </c>
      <c r="T463" s="6"/>
      <c r="Y463" s="11"/>
      <c r="AB463" s="11"/>
      <c r="AD463" s="6"/>
      <c r="AE463" s="8" t="s">
        <v>41</v>
      </c>
    </row>
    <row r="464" spans="1:31" x14ac:dyDescent="0.25">
      <c r="A464" s="6" t="s">
        <v>943</v>
      </c>
      <c r="B464" s="6">
        <v>9</v>
      </c>
      <c r="C464" s="6">
        <v>138</v>
      </c>
      <c r="D464" s="6">
        <v>8</v>
      </c>
      <c r="E464" s="6">
        <v>1</v>
      </c>
      <c r="F464" s="7"/>
      <c r="G464" s="6">
        <v>16</v>
      </c>
      <c r="H464" s="6">
        <v>232</v>
      </c>
      <c r="I464" s="10"/>
      <c r="J464" s="6"/>
      <c r="K464" s="6"/>
      <c r="L464" s="6"/>
      <c r="M464" s="6"/>
      <c r="N464" s="6"/>
      <c r="O464" s="6"/>
      <c r="P464" s="7"/>
      <c r="Q464" s="6"/>
      <c r="R464" s="6"/>
      <c r="S464" s="10"/>
      <c r="T464" s="6"/>
      <c r="Y464" s="11"/>
      <c r="AB464" s="11"/>
      <c r="AD464" s="6"/>
      <c r="AE464" s="8" t="s">
        <v>944</v>
      </c>
    </row>
    <row r="465" spans="1:31" x14ac:dyDescent="0.25">
      <c r="A465" s="6" t="s">
        <v>821</v>
      </c>
      <c r="B465" s="6">
        <v>2.5</v>
      </c>
      <c r="C465" s="6">
        <v>63</v>
      </c>
      <c r="D465" s="6">
        <v>3</v>
      </c>
      <c r="E465" s="6">
        <v>1</v>
      </c>
      <c r="F465" s="7">
        <f t="shared" si="54"/>
        <v>31.5</v>
      </c>
      <c r="G465" s="6">
        <v>1</v>
      </c>
      <c r="H465" s="6">
        <v>78</v>
      </c>
      <c r="I465" s="7">
        <f t="shared" si="55"/>
        <v>78</v>
      </c>
      <c r="J465" s="6"/>
      <c r="K465" s="6"/>
      <c r="L465" s="6">
        <v>3</v>
      </c>
      <c r="M465" s="6">
        <v>63</v>
      </c>
      <c r="N465" s="6">
        <v>3</v>
      </c>
      <c r="O465" s="6">
        <v>1</v>
      </c>
      <c r="P465" s="7">
        <f t="shared" si="57"/>
        <v>31.5</v>
      </c>
      <c r="Q465" s="6">
        <v>1</v>
      </c>
      <c r="R465" s="6">
        <v>78</v>
      </c>
      <c r="S465" s="7">
        <f t="shared" si="60"/>
        <v>78</v>
      </c>
      <c r="T465" s="6"/>
      <c r="Y465" s="11"/>
      <c r="AB465" s="11"/>
      <c r="AD465" s="6"/>
      <c r="AE465" s="8" t="s">
        <v>180</v>
      </c>
    </row>
    <row r="466" spans="1:31" x14ac:dyDescent="0.25">
      <c r="A466" s="6" t="s">
        <v>822</v>
      </c>
      <c r="B466" s="6">
        <v>1</v>
      </c>
      <c r="C466" s="6">
        <v>16</v>
      </c>
      <c r="D466" s="6">
        <v>1</v>
      </c>
      <c r="E466" s="6"/>
      <c r="F466" s="7">
        <f t="shared" si="54"/>
        <v>16</v>
      </c>
      <c r="G466" s="6">
        <v>2</v>
      </c>
      <c r="H466" s="6">
        <v>10</v>
      </c>
      <c r="I466" s="7">
        <f t="shared" si="55"/>
        <v>5</v>
      </c>
      <c r="J466" s="6"/>
      <c r="K466" s="6"/>
      <c r="L466" s="6">
        <v>1</v>
      </c>
      <c r="M466" s="6">
        <v>16</v>
      </c>
      <c r="N466" s="6">
        <v>1</v>
      </c>
      <c r="O466" s="6"/>
      <c r="P466" s="7">
        <f t="shared" si="57"/>
        <v>16</v>
      </c>
      <c r="Q466" s="6">
        <v>2</v>
      </c>
      <c r="R466" s="6">
        <v>10</v>
      </c>
      <c r="S466" s="7">
        <f t="shared" si="60"/>
        <v>5</v>
      </c>
      <c r="T466" s="6"/>
      <c r="Y466" s="11"/>
      <c r="AB466" s="11"/>
      <c r="AD466" s="6">
        <v>1</v>
      </c>
      <c r="AE466" s="8" t="s">
        <v>23</v>
      </c>
    </row>
    <row r="467" spans="1:31" x14ac:dyDescent="0.25">
      <c r="A467" s="6" t="s">
        <v>337</v>
      </c>
      <c r="B467" s="6">
        <v>9</v>
      </c>
      <c r="C467" s="6">
        <v>306</v>
      </c>
      <c r="D467" s="6">
        <v>9</v>
      </c>
      <c r="E467" s="6">
        <v>4</v>
      </c>
      <c r="F467" s="7">
        <f t="shared" si="54"/>
        <v>61.2</v>
      </c>
      <c r="G467" s="6"/>
      <c r="H467" s="6"/>
      <c r="I467" s="7"/>
      <c r="J467" s="6"/>
      <c r="K467" s="6"/>
      <c r="L467" s="6"/>
      <c r="M467" s="6"/>
      <c r="N467" s="6"/>
      <c r="O467" s="6"/>
      <c r="P467" s="7"/>
      <c r="Q467" s="6"/>
      <c r="R467" s="6"/>
      <c r="S467" s="7"/>
      <c r="T467" s="6"/>
      <c r="Y467" s="11"/>
      <c r="AA467" s="6"/>
      <c r="AB467" s="11"/>
    </row>
    <row r="468" spans="1:31" x14ac:dyDescent="0.25">
      <c r="A468" s="6" t="s">
        <v>338</v>
      </c>
      <c r="B468" s="6">
        <v>1</v>
      </c>
      <c r="C468" s="6"/>
      <c r="D468" s="6">
        <v>1</v>
      </c>
      <c r="E468" s="6">
        <v>1</v>
      </c>
      <c r="F468" s="7"/>
      <c r="G468" s="6"/>
      <c r="H468" s="6"/>
      <c r="I468" s="7"/>
      <c r="J468" s="6"/>
      <c r="K468" s="6"/>
      <c r="L468" s="6"/>
      <c r="M468" s="6"/>
      <c r="N468" s="6"/>
      <c r="O468" s="6"/>
      <c r="P468" s="7"/>
      <c r="Q468" s="6"/>
      <c r="R468" s="6"/>
      <c r="S468" s="7"/>
      <c r="T468" s="6"/>
      <c r="Y468" s="11"/>
      <c r="AA468" s="6"/>
      <c r="AB468" s="11"/>
    </row>
    <row r="469" spans="1:31" x14ac:dyDescent="0.25">
      <c r="A469" s="6" t="s">
        <v>339</v>
      </c>
      <c r="B469" s="6">
        <v>13</v>
      </c>
      <c r="C469" s="6">
        <v>236</v>
      </c>
      <c r="D469" s="6">
        <v>13</v>
      </c>
      <c r="E469" s="6">
        <v>6</v>
      </c>
      <c r="F469" s="7">
        <f t="shared" si="54"/>
        <v>33.714285714285715</v>
      </c>
      <c r="G469" s="6">
        <v>14</v>
      </c>
      <c r="H469" s="6">
        <v>64</v>
      </c>
      <c r="I469" s="7">
        <f t="shared" si="55"/>
        <v>4.5714285714285712</v>
      </c>
      <c r="J469" s="6"/>
      <c r="K469" s="6"/>
      <c r="L469" s="6"/>
      <c r="M469" s="6"/>
      <c r="N469" s="6"/>
      <c r="O469" s="6"/>
      <c r="P469" s="7"/>
      <c r="Q469" s="6"/>
      <c r="R469" s="6"/>
      <c r="S469" s="7"/>
      <c r="T469" s="6"/>
      <c r="Y469" s="11"/>
      <c r="AA469" s="6"/>
      <c r="AB469" s="11"/>
    </row>
    <row r="470" spans="1:31" x14ac:dyDescent="0.25">
      <c r="A470" s="6" t="s">
        <v>340</v>
      </c>
      <c r="B470" s="6">
        <v>6</v>
      </c>
      <c r="C470" s="6">
        <v>86</v>
      </c>
      <c r="D470" s="6">
        <v>6</v>
      </c>
      <c r="E470" s="6"/>
      <c r="F470" s="7">
        <f t="shared" si="54"/>
        <v>14.333333333333334</v>
      </c>
      <c r="G470" s="6"/>
      <c r="H470" s="6"/>
      <c r="I470" s="7"/>
      <c r="J470" s="6"/>
      <c r="K470" s="6"/>
      <c r="L470" s="6"/>
      <c r="M470" s="6"/>
      <c r="N470" s="6"/>
      <c r="O470" s="6"/>
      <c r="P470" s="7"/>
      <c r="Q470" s="6"/>
      <c r="R470" s="6"/>
      <c r="S470" s="7"/>
      <c r="T470" s="6"/>
      <c r="Y470" s="11"/>
      <c r="AA470" s="6"/>
      <c r="AB470" s="11"/>
    </row>
    <row r="471" spans="1:31" x14ac:dyDescent="0.25">
      <c r="A471" s="6" t="s">
        <v>341</v>
      </c>
      <c r="B471" s="6">
        <v>1</v>
      </c>
      <c r="C471" s="6">
        <v>8</v>
      </c>
      <c r="D471" s="6">
        <v>1</v>
      </c>
      <c r="E471" s="6"/>
      <c r="F471" s="7">
        <f t="shared" si="54"/>
        <v>8</v>
      </c>
      <c r="G471" s="6"/>
      <c r="H471" s="6"/>
      <c r="I471" s="7"/>
      <c r="J471" s="6"/>
      <c r="K471" s="6"/>
      <c r="L471" s="6"/>
      <c r="M471" s="6"/>
      <c r="N471" s="6"/>
      <c r="O471" s="6"/>
      <c r="P471" s="7"/>
      <c r="Q471" s="6"/>
      <c r="R471" s="6"/>
      <c r="S471" s="7"/>
      <c r="T471" s="6"/>
      <c r="Y471" s="11"/>
      <c r="AA471" s="6"/>
      <c r="AB471" s="11"/>
    </row>
    <row r="472" spans="1:31" x14ac:dyDescent="0.25">
      <c r="A472" s="6" t="s">
        <v>668</v>
      </c>
      <c r="B472" s="6">
        <v>21</v>
      </c>
      <c r="C472" s="6">
        <v>110</v>
      </c>
      <c r="D472" s="6">
        <v>22</v>
      </c>
      <c r="E472" s="6">
        <v>2</v>
      </c>
      <c r="F472" s="7">
        <f t="shared" si="54"/>
        <v>5.5</v>
      </c>
      <c r="G472" s="6"/>
      <c r="H472" s="6">
        <v>85</v>
      </c>
      <c r="I472" s="7"/>
      <c r="J472" s="6"/>
      <c r="K472" s="6"/>
      <c r="L472" s="6"/>
      <c r="M472" s="6"/>
      <c r="N472" s="6"/>
      <c r="O472" s="6"/>
      <c r="P472" s="7"/>
      <c r="Q472" s="6"/>
      <c r="R472" s="6"/>
      <c r="S472" s="7"/>
      <c r="T472" s="6"/>
      <c r="Y472" s="11"/>
      <c r="AA472" s="6"/>
      <c r="AB472" s="11"/>
    </row>
    <row r="473" spans="1:31" x14ac:dyDescent="0.25">
      <c r="A473" s="6" t="s">
        <v>342</v>
      </c>
      <c r="B473" s="6">
        <v>15</v>
      </c>
      <c r="C473" s="6">
        <v>200</v>
      </c>
      <c r="D473" s="6">
        <v>17</v>
      </c>
      <c r="E473" s="6"/>
      <c r="F473" s="7">
        <f t="shared" si="54"/>
        <v>11.764705882352942</v>
      </c>
      <c r="G473" s="6">
        <v>11</v>
      </c>
      <c r="H473" s="6">
        <v>254</v>
      </c>
      <c r="I473" s="7">
        <f t="shared" si="55"/>
        <v>23.09090909090909</v>
      </c>
      <c r="J473" s="6"/>
      <c r="K473" s="6"/>
      <c r="L473" s="6"/>
      <c r="M473" s="6"/>
      <c r="N473" s="6"/>
      <c r="O473" s="6"/>
      <c r="P473" s="7"/>
      <c r="Q473" s="6"/>
      <c r="R473" s="6"/>
      <c r="S473" s="7"/>
      <c r="T473" s="6"/>
      <c r="Y473" s="11"/>
      <c r="AA473" s="6"/>
      <c r="AB473" s="11"/>
    </row>
    <row r="474" spans="1:31" x14ac:dyDescent="0.25">
      <c r="A474" s="6" t="s">
        <v>343</v>
      </c>
      <c r="B474" s="6">
        <v>2</v>
      </c>
      <c r="C474" s="6">
        <v>4</v>
      </c>
      <c r="D474" s="6">
        <v>2</v>
      </c>
      <c r="E474" s="6"/>
      <c r="F474" s="7">
        <f t="shared" si="54"/>
        <v>2</v>
      </c>
      <c r="G474" s="6"/>
      <c r="H474" s="6"/>
      <c r="I474" s="7"/>
      <c r="J474" s="6"/>
      <c r="K474" s="6"/>
      <c r="L474" s="6"/>
      <c r="M474" s="6"/>
      <c r="N474" s="6"/>
      <c r="O474" s="6"/>
      <c r="P474" s="7"/>
      <c r="Q474" s="6"/>
      <c r="R474" s="6"/>
      <c r="S474" s="7"/>
      <c r="T474" s="6"/>
      <c r="Y474" s="11"/>
      <c r="AA474" s="6"/>
      <c r="AB474" s="11"/>
    </row>
    <row r="475" spans="1:31" x14ac:dyDescent="0.25">
      <c r="A475" s="6" t="s">
        <v>344</v>
      </c>
      <c r="B475" s="6">
        <v>28</v>
      </c>
      <c r="C475" s="6">
        <v>135</v>
      </c>
      <c r="D475" s="6">
        <v>25</v>
      </c>
      <c r="E475" s="6">
        <v>3</v>
      </c>
      <c r="F475" s="7">
        <f t="shared" si="54"/>
        <v>6.1363636363636367</v>
      </c>
      <c r="G475" s="6">
        <v>1</v>
      </c>
      <c r="H475" s="6">
        <v>90</v>
      </c>
      <c r="I475" s="7">
        <f t="shared" si="55"/>
        <v>90</v>
      </c>
      <c r="J475" s="6"/>
      <c r="K475" s="6"/>
      <c r="L475" s="6"/>
      <c r="M475" s="6"/>
      <c r="N475" s="6"/>
      <c r="O475" s="6"/>
      <c r="P475" s="7"/>
      <c r="Q475" s="6"/>
      <c r="R475" s="6"/>
      <c r="S475" s="7"/>
      <c r="T475" s="6"/>
      <c r="Y475" s="11"/>
      <c r="AA475" s="6"/>
      <c r="AB475" s="11"/>
    </row>
    <row r="476" spans="1:31" x14ac:dyDescent="0.25">
      <c r="A476" s="6" t="s">
        <v>345</v>
      </c>
      <c r="B476" s="6">
        <v>148</v>
      </c>
      <c r="C476" s="6">
        <v>2084</v>
      </c>
      <c r="D476" s="6">
        <v>146</v>
      </c>
      <c r="E476" s="6">
        <v>9</v>
      </c>
      <c r="F476" s="7">
        <f t="shared" si="54"/>
        <v>15.211678832116789</v>
      </c>
      <c r="G476" s="6">
        <v>152</v>
      </c>
      <c r="H476" s="6">
        <v>2922</v>
      </c>
      <c r="I476" s="7">
        <f t="shared" si="55"/>
        <v>19.223684210526315</v>
      </c>
      <c r="J476" s="6"/>
      <c r="K476" s="6"/>
      <c r="L476" s="6"/>
      <c r="M476" s="6"/>
      <c r="N476" s="6"/>
      <c r="O476" s="6"/>
      <c r="P476" s="7"/>
      <c r="Q476" s="6"/>
      <c r="R476" s="6"/>
      <c r="S476" s="7"/>
      <c r="T476" s="6"/>
      <c r="Y476" s="11"/>
      <c r="AA476" s="6"/>
      <c r="AB476" s="11"/>
    </row>
    <row r="477" spans="1:31" x14ac:dyDescent="0.25">
      <c r="A477" s="6" t="s">
        <v>346</v>
      </c>
      <c r="B477" s="6">
        <v>4</v>
      </c>
      <c r="C477" s="6">
        <v>38</v>
      </c>
      <c r="D477" s="6">
        <v>5</v>
      </c>
      <c r="E477" s="6">
        <v>1</v>
      </c>
      <c r="F477" s="7">
        <f t="shared" si="54"/>
        <v>9.5</v>
      </c>
      <c r="G477" s="6">
        <v>15</v>
      </c>
      <c r="H477" s="6">
        <v>141</v>
      </c>
      <c r="I477" s="7">
        <f t="shared" si="55"/>
        <v>9.4</v>
      </c>
      <c r="J477" s="6"/>
      <c r="K477" s="6"/>
      <c r="L477" s="6"/>
      <c r="M477" s="6"/>
      <c r="N477" s="6"/>
      <c r="O477" s="6"/>
      <c r="P477" s="7"/>
      <c r="Q477" s="6"/>
      <c r="R477" s="6"/>
      <c r="S477" s="7"/>
      <c r="T477" s="6"/>
      <c r="Y477" s="11"/>
      <c r="AA477" s="6"/>
      <c r="AB477" s="11"/>
    </row>
    <row r="478" spans="1:31" x14ac:dyDescent="0.25">
      <c r="A478" s="6" t="s">
        <v>347</v>
      </c>
      <c r="B478" s="6">
        <v>9</v>
      </c>
      <c r="C478" s="6">
        <v>73</v>
      </c>
      <c r="D478" s="6">
        <v>9</v>
      </c>
      <c r="E478" s="6">
        <v>2</v>
      </c>
      <c r="F478" s="7">
        <f t="shared" si="54"/>
        <v>10.428571428571429</v>
      </c>
      <c r="G478" s="6">
        <v>4</v>
      </c>
      <c r="H478" s="6">
        <v>24</v>
      </c>
      <c r="I478" s="7">
        <f t="shared" si="55"/>
        <v>6</v>
      </c>
      <c r="J478" s="6"/>
      <c r="K478" s="6"/>
      <c r="L478" s="6"/>
      <c r="M478" s="6"/>
      <c r="N478" s="6"/>
      <c r="O478" s="6"/>
      <c r="P478" s="7"/>
      <c r="Q478" s="6"/>
      <c r="R478" s="6"/>
      <c r="S478" s="7"/>
      <c r="T478" s="6"/>
      <c r="Y478" s="11"/>
      <c r="AA478" s="6"/>
      <c r="AB478" s="11"/>
    </row>
    <row r="479" spans="1:31" x14ac:dyDescent="0.25">
      <c r="A479" s="6" t="s">
        <v>348</v>
      </c>
      <c r="B479" s="6">
        <v>20</v>
      </c>
      <c r="C479" s="6">
        <v>431</v>
      </c>
      <c r="D479" s="6">
        <v>22</v>
      </c>
      <c r="E479" s="6">
        <v>2</v>
      </c>
      <c r="F479" s="7">
        <f t="shared" si="54"/>
        <v>21.55</v>
      </c>
      <c r="G479" s="6">
        <v>23</v>
      </c>
      <c r="H479" s="6">
        <v>410</v>
      </c>
      <c r="I479" s="7">
        <f t="shared" si="55"/>
        <v>17.826086956521738</v>
      </c>
      <c r="J479" s="6"/>
      <c r="K479" s="6"/>
      <c r="L479" s="6"/>
      <c r="M479" s="6"/>
      <c r="N479" s="6"/>
      <c r="O479" s="6"/>
      <c r="P479" s="7"/>
      <c r="Q479" s="6"/>
      <c r="R479" s="6"/>
      <c r="S479" s="7"/>
      <c r="T479" s="6"/>
      <c r="Y479" s="11"/>
      <c r="AA479" s="6"/>
      <c r="AB479" s="11"/>
    </row>
    <row r="480" spans="1:31" x14ac:dyDescent="0.25">
      <c r="A480" s="6" t="s">
        <v>349</v>
      </c>
      <c r="B480" s="6">
        <v>60</v>
      </c>
      <c r="C480" s="6">
        <v>424</v>
      </c>
      <c r="D480" s="6">
        <v>66</v>
      </c>
      <c r="E480" s="6">
        <v>16</v>
      </c>
      <c r="F480" s="7">
        <f t="shared" si="54"/>
        <v>8.48</v>
      </c>
      <c r="G480" s="6">
        <v>79</v>
      </c>
      <c r="H480" s="6">
        <v>1649</v>
      </c>
      <c r="I480" s="7">
        <f t="shared" si="55"/>
        <v>20.873417721518987</v>
      </c>
      <c r="J480" s="6"/>
      <c r="K480" s="6"/>
      <c r="L480" s="6">
        <v>1</v>
      </c>
      <c r="M480" s="6"/>
      <c r="N480" s="6">
        <v>1</v>
      </c>
      <c r="O480" s="6"/>
      <c r="P480" s="7"/>
      <c r="Q480" s="6">
        <v>2</v>
      </c>
      <c r="R480" s="6">
        <v>43</v>
      </c>
      <c r="S480" s="7">
        <f t="shared" si="60"/>
        <v>21.5</v>
      </c>
      <c r="T480" s="6"/>
      <c r="Y480" s="11"/>
      <c r="AB480" s="11"/>
      <c r="AD480" s="6"/>
      <c r="AE480" s="8" t="s">
        <v>350</v>
      </c>
    </row>
    <row r="481" spans="1:31" x14ac:dyDescent="0.25">
      <c r="A481" s="6" t="s">
        <v>351</v>
      </c>
      <c r="B481" s="6">
        <v>8</v>
      </c>
      <c r="C481" s="6">
        <v>93</v>
      </c>
      <c r="D481" s="6">
        <v>9</v>
      </c>
      <c r="E481" s="6"/>
      <c r="F481" s="7">
        <f t="shared" si="54"/>
        <v>10.333333333333334</v>
      </c>
      <c r="G481" s="6">
        <v>7</v>
      </c>
      <c r="H481" s="6">
        <v>210</v>
      </c>
      <c r="I481" s="7">
        <f t="shared" si="55"/>
        <v>30</v>
      </c>
      <c r="J481" s="6"/>
      <c r="K481" s="6"/>
      <c r="L481" s="6"/>
      <c r="M481" s="6"/>
      <c r="N481" s="6"/>
      <c r="O481" s="6"/>
      <c r="P481" s="7"/>
      <c r="Q481" s="6"/>
      <c r="R481" s="6"/>
      <c r="S481" s="7"/>
      <c r="T481" s="6"/>
      <c r="Y481" s="11"/>
      <c r="AA481" s="6"/>
      <c r="AB481" s="11"/>
    </row>
    <row r="482" spans="1:31" x14ac:dyDescent="0.25">
      <c r="A482" s="6" t="s">
        <v>352</v>
      </c>
      <c r="B482" s="6">
        <v>8.5</v>
      </c>
      <c r="C482" s="6">
        <v>122</v>
      </c>
      <c r="D482" s="6">
        <v>14</v>
      </c>
      <c r="E482" s="6">
        <v>2</v>
      </c>
      <c r="F482" s="7">
        <f t="shared" si="54"/>
        <v>10.166666666666666</v>
      </c>
      <c r="G482" s="6">
        <v>24</v>
      </c>
      <c r="H482" s="6">
        <v>412</v>
      </c>
      <c r="I482" s="7">
        <f t="shared" si="55"/>
        <v>17.166666666666668</v>
      </c>
      <c r="J482" s="6"/>
      <c r="K482" s="6"/>
      <c r="L482" s="6">
        <v>15</v>
      </c>
      <c r="M482" s="6">
        <v>122</v>
      </c>
      <c r="N482" s="6">
        <v>14</v>
      </c>
      <c r="O482" s="6">
        <v>2</v>
      </c>
      <c r="P482" s="7">
        <f t="shared" si="57"/>
        <v>10.166666666666666</v>
      </c>
      <c r="Q482" s="6">
        <v>24</v>
      </c>
      <c r="R482" s="6">
        <v>412</v>
      </c>
      <c r="S482" s="7">
        <f t="shared" si="60"/>
        <v>17.166666666666668</v>
      </c>
      <c r="T482" s="6"/>
      <c r="Y482" s="11"/>
      <c r="AB482" s="11"/>
      <c r="AD482" s="6"/>
      <c r="AE482" s="8" t="s">
        <v>353</v>
      </c>
    </row>
    <row r="483" spans="1:31" x14ac:dyDescent="0.25">
      <c r="A483" s="6" t="s">
        <v>354</v>
      </c>
      <c r="B483" s="6">
        <v>3</v>
      </c>
      <c r="C483" s="6">
        <v>26</v>
      </c>
      <c r="D483" s="6">
        <v>5</v>
      </c>
      <c r="E483" s="6"/>
      <c r="F483" s="7">
        <f t="shared" si="54"/>
        <v>5.2</v>
      </c>
      <c r="G483" s="6">
        <v>3</v>
      </c>
      <c r="H483" s="6">
        <v>61</v>
      </c>
      <c r="I483" s="7">
        <f t="shared" si="55"/>
        <v>20.333333333333332</v>
      </c>
      <c r="J483" s="6"/>
      <c r="K483" s="6"/>
      <c r="L483" s="6"/>
      <c r="M483" s="6"/>
      <c r="N483" s="6"/>
      <c r="O483" s="6"/>
      <c r="P483" s="7"/>
      <c r="Q483" s="6"/>
      <c r="R483" s="6"/>
      <c r="S483" s="7"/>
      <c r="T483" s="6"/>
      <c r="Y483" s="11"/>
      <c r="AA483" s="6"/>
      <c r="AB483" s="11"/>
    </row>
    <row r="484" spans="1:31" x14ac:dyDescent="0.25">
      <c r="A484" s="6" t="s">
        <v>355</v>
      </c>
      <c r="B484" s="6">
        <v>52</v>
      </c>
      <c r="C484" s="6">
        <v>741</v>
      </c>
      <c r="D484" s="6">
        <v>50</v>
      </c>
      <c r="E484" s="6">
        <v>6</v>
      </c>
      <c r="F484" s="7">
        <f t="shared" si="54"/>
        <v>16.84090909090909</v>
      </c>
      <c r="G484" s="6">
        <v>26</v>
      </c>
      <c r="H484" s="6">
        <v>557</v>
      </c>
      <c r="I484" s="7">
        <f t="shared" si="55"/>
        <v>21.423076923076923</v>
      </c>
      <c r="J484" s="6"/>
      <c r="K484" s="6"/>
      <c r="L484" s="6"/>
      <c r="M484" s="6"/>
      <c r="N484" s="6"/>
      <c r="O484" s="6"/>
      <c r="P484" s="7"/>
      <c r="Q484" s="6"/>
      <c r="R484" s="6"/>
      <c r="S484" s="7"/>
      <c r="T484" s="6"/>
      <c r="Y484" s="11"/>
      <c r="AA484" s="6"/>
      <c r="AB484" s="11"/>
    </row>
    <row r="485" spans="1:31" x14ac:dyDescent="0.25">
      <c r="A485" s="6" t="s">
        <v>356</v>
      </c>
      <c r="B485" s="6">
        <v>48</v>
      </c>
      <c r="C485" s="6">
        <v>460</v>
      </c>
      <c r="D485" s="6">
        <v>40</v>
      </c>
      <c r="E485" s="6">
        <v>4</v>
      </c>
      <c r="F485" s="7">
        <f t="shared" ref="F485:F583" si="65">(C485/(D485-E485))</f>
        <v>12.777777777777779</v>
      </c>
      <c r="G485" s="6">
        <v>8</v>
      </c>
      <c r="H485" s="6">
        <v>157</v>
      </c>
      <c r="I485" s="7">
        <f t="shared" si="55"/>
        <v>19.625</v>
      </c>
      <c r="J485" s="6"/>
      <c r="K485" s="6"/>
      <c r="L485" s="6"/>
      <c r="M485" s="6"/>
      <c r="N485" s="6"/>
      <c r="O485" s="6"/>
      <c r="P485" s="7"/>
      <c r="Q485" s="6"/>
      <c r="R485" s="6"/>
      <c r="S485" s="7"/>
      <c r="T485" s="6"/>
      <c r="Y485" s="11"/>
      <c r="AA485" s="6"/>
      <c r="AB485" s="11"/>
    </row>
    <row r="486" spans="1:31" x14ac:dyDescent="0.25">
      <c r="A486" s="6" t="s">
        <v>1036</v>
      </c>
      <c r="B486" s="6">
        <v>2</v>
      </c>
      <c r="C486" s="6">
        <v>16</v>
      </c>
      <c r="D486" s="6">
        <v>1</v>
      </c>
      <c r="E486" s="6"/>
      <c r="F486" s="7">
        <f t="shared" si="65"/>
        <v>16</v>
      </c>
      <c r="G486" s="6"/>
      <c r="H486" s="6"/>
      <c r="I486" s="7"/>
      <c r="J486" s="6"/>
      <c r="K486" s="6"/>
      <c r="L486" s="6"/>
      <c r="M486" s="6"/>
      <c r="N486" s="6"/>
      <c r="O486" s="6"/>
      <c r="P486" s="7"/>
      <c r="Q486" s="6"/>
      <c r="R486" s="6"/>
      <c r="S486" s="7"/>
      <c r="T486" s="6"/>
      <c r="Y486" s="11"/>
      <c r="AA486" s="6"/>
      <c r="AB486" s="11"/>
      <c r="AE486" s="1" t="s">
        <v>1021</v>
      </c>
    </row>
    <row r="487" spans="1:31" x14ac:dyDescent="0.25">
      <c r="A487" s="6" t="s">
        <v>357</v>
      </c>
      <c r="B487" s="6">
        <v>27</v>
      </c>
      <c r="C487" s="6">
        <v>281</v>
      </c>
      <c r="D487" s="6">
        <v>18</v>
      </c>
      <c r="E487" s="6">
        <v>5</v>
      </c>
      <c r="F487" s="7">
        <f t="shared" si="65"/>
        <v>21.615384615384617</v>
      </c>
      <c r="G487" s="6">
        <v>33</v>
      </c>
      <c r="H487" s="6">
        <v>387</v>
      </c>
      <c r="I487" s="7">
        <f t="shared" ref="I487:I582" si="66">(H487/G487)</f>
        <v>11.727272727272727</v>
      </c>
      <c r="J487" s="6"/>
      <c r="K487" s="6"/>
      <c r="L487" s="6"/>
      <c r="M487" s="6"/>
      <c r="N487" s="6"/>
      <c r="O487" s="6"/>
      <c r="P487" s="7"/>
      <c r="Q487" s="6"/>
      <c r="R487" s="6"/>
      <c r="S487" s="7"/>
      <c r="T487" s="6"/>
      <c r="Y487" s="11"/>
      <c r="AA487" s="6"/>
      <c r="AB487" s="11"/>
    </row>
    <row r="488" spans="1:31" x14ac:dyDescent="0.25">
      <c r="A488" s="6" t="s">
        <v>358</v>
      </c>
      <c r="B488" s="6">
        <v>86</v>
      </c>
      <c r="C488" s="6">
        <v>1097</v>
      </c>
      <c r="D488" s="6">
        <v>82</v>
      </c>
      <c r="E488" s="6">
        <v>14</v>
      </c>
      <c r="F488" s="7">
        <f t="shared" si="65"/>
        <v>16.132352941176471</v>
      </c>
      <c r="G488" s="6">
        <v>56</v>
      </c>
      <c r="H488" s="6">
        <v>1117</v>
      </c>
      <c r="I488" s="7">
        <f t="shared" si="66"/>
        <v>19.946428571428573</v>
      </c>
      <c r="J488" s="6"/>
      <c r="K488" s="6"/>
      <c r="L488" s="6"/>
      <c r="M488" s="6"/>
      <c r="N488" s="6"/>
      <c r="O488" s="6"/>
      <c r="P488" s="7"/>
      <c r="Q488" s="6"/>
      <c r="R488" s="6"/>
      <c r="S488" s="7"/>
      <c r="T488" s="6"/>
      <c r="Y488" s="11"/>
      <c r="AA488" s="6"/>
      <c r="AB488" s="11"/>
    </row>
    <row r="489" spans="1:31" x14ac:dyDescent="0.25">
      <c r="A489" s="6" t="s">
        <v>359</v>
      </c>
      <c r="B489" s="6">
        <v>73</v>
      </c>
      <c r="C489" s="6">
        <v>1620</v>
      </c>
      <c r="D489" s="6">
        <v>83</v>
      </c>
      <c r="E489" s="6">
        <v>12</v>
      </c>
      <c r="F489" s="7">
        <f t="shared" si="65"/>
        <v>22.816901408450704</v>
      </c>
      <c r="G489" s="6">
        <v>16</v>
      </c>
      <c r="H489" s="6">
        <v>222</v>
      </c>
      <c r="I489" s="7">
        <f t="shared" si="66"/>
        <v>13.875</v>
      </c>
      <c r="J489" s="6"/>
      <c r="K489" s="6"/>
      <c r="L489" s="6"/>
      <c r="M489" s="6"/>
      <c r="N489" s="6"/>
      <c r="O489" s="6"/>
      <c r="P489" s="7"/>
      <c r="Q489" s="6"/>
      <c r="R489" s="6"/>
      <c r="S489" s="7"/>
      <c r="T489" s="6"/>
      <c r="Y489" s="11"/>
      <c r="AA489" s="6"/>
      <c r="AB489" s="11"/>
    </row>
    <row r="490" spans="1:31" x14ac:dyDescent="0.25">
      <c r="A490" s="6" t="s">
        <v>360</v>
      </c>
      <c r="B490" s="6">
        <v>52</v>
      </c>
      <c r="C490" s="6">
        <v>730</v>
      </c>
      <c r="D490" s="6">
        <v>58</v>
      </c>
      <c r="E490" s="6">
        <v>7</v>
      </c>
      <c r="F490" s="7">
        <f t="shared" si="65"/>
        <v>14.313725490196079</v>
      </c>
      <c r="G490" s="6">
        <v>54</v>
      </c>
      <c r="H490" s="6">
        <v>832</v>
      </c>
      <c r="I490" s="7">
        <f t="shared" si="66"/>
        <v>15.407407407407407</v>
      </c>
      <c r="J490" s="6"/>
      <c r="K490" s="6"/>
      <c r="L490" s="6"/>
      <c r="M490" s="6"/>
      <c r="N490" s="6"/>
      <c r="O490" s="6"/>
      <c r="P490" s="7"/>
      <c r="Q490" s="6"/>
      <c r="R490" s="6"/>
      <c r="S490" s="7"/>
      <c r="T490" s="6"/>
      <c r="Y490" s="11"/>
      <c r="AA490" s="6"/>
      <c r="AB490" s="11"/>
    </row>
    <row r="491" spans="1:31" x14ac:dyDescent="0.25">
      <c r="A491" s="6" t="s">
        <v>361</v>
      </c>
      <c r="B491" s="6">
        <v>11</v>
      </c>
      <c r="C491" s="6">
        <v>266</v>
      </c>
      <c r="D491" s="6">
        <v>10</v>
      </c>
      <c r="E491" s="6">
        <v>2</v>
      </c>
      <c r="F491" s="7">
        <f t="shared" si="65"/>
        <v>33.25</v>
      </c>
      <c r="G491" s="6">
        <v>18</v>
      </c>
      <c r="H491" s="6">
        <v>421</v>
      </c>
      <c r="I491" s="7">
        <f t="shared" si="66"/>
        <v>23.388888888888889</v>
      </c>
      <c r="J491" s="6"/>
      <c r="K491" s="6"/>
      <c r="L491" s="6"/>
      <c r="M491" s="6"/>
      <c r="N491" s="6"/>
      <c r="O491" s="6"/>
      <c r="P491" s="7"/>
      <c r="Q491" s="6"/>
      <c r="R491" s="6"/>
      <c r="S491" s="7"/>
      <c r="T491" s="6"/>
      <c r="Y491" s="11"/>
      <c r="AA491" s="6"/>
      <c r="AB491" s="11"/>
    </row>
    <row r="492" spans="1:31" x14ac:dyDescent="0.25">
      <c r="A492" s="6" t="s">
        <v>362</v>
      </c>
      <c r="B492" s="6">
        <v>5</v>
      </c>
      <c r="C492" s="6">
        <v>12</v>
      </c>
      <c r="D492" s="6">
        <v>7</v>
      </c>
      <c r="E492" s="6">
        <v>2</v>
      </c>
      <c r="F492" s="7">
        <f t="shared" si="65"/>
        <v>2.4</v>
      </c>
      <c r="G492" s="6">
        <v>3</v>
      </c>
      <c r="H492" s="6">
        <v>125</v>
      </c>
      <c r="I492" s="7">
        <f t="shared" si="66"/>
        <v>41.666666666666664</v>
      </c>
      <c r="J492" s="6"/>
      <c r="K492" s="6"/>
      <c r="L492" s="6"/>
      <c r="M492" s="6"/>
      <c r="N492" s="6"/>
      <c r="O492" s="6"/>
      <c r="P492" s="7"/>
      <c r="Q492" s="6"/>
      <c r="R492" s="6"/>
      <c r="S492" s="7"/>
      <c r="T492" s="6"/>
      <c r="Y492" s="11"/>
      <c r="AA492" s="6"/>
      <c r="AB492" s="11"/>
    </row>
    <row r="493" spans="1:31" x14ac:dyDescent="0.25">
      <c r="A493" s="6" t="s">
        <v>363</v>
      </c>
      <c r="B493" s="6">
        <v>1</v>
      </c>
      <c r="C493" s="6"/>
      <c r="D493" s="6">
        <v>1</v>
      </c>
      <c r="E493" s="6"/>
      <c r="F493" s="7"/>
      <c r="G493" s="6"/>
      <c r="H493" s="6"/>
      <c r="I493" s="7"/>
      <c r="J493" s="6"/>
      <c r="K493" s="6"/>
      <c r="L493" s="6"/>
      <c r="M493" s="6"/>
      <c r="N493" s="6"/>
      <c r="O493" s="6"/>
      <c r="P493" s="7"/>
      <c r="Q493" s="6"/>
      <c r="R493" s="6"/>
      <c r="S493" s="7"/>
      <c r="T493" s="6"/>
      <c r="Y493" s="11"/>
      <c r="AA493" s="6"/>
      <c r="AB493" s="11"/>
    </row>
    <row r="494" spans="1:31" x14ac:dyDescent="0.25">
      <c r="A494" s="6" t="s">
        <v>364</v>
      </c>
      <c r="B494" s="6">
        <v>40</v>
      </c>
      <c r="C494" s="6">
        <v>747</v>
      </c>
      <c r="D494" s="6">
        <v>40</v>
      </c>
      <c r="E494" s="6">
        <v>7</v>
      </c>
      <c r="F494" s="7">
        <f t="shared" si="65"/>
        <v>22.636363636363637</v>
      </c>
      <c r="G494" s="6">
        <v>40</v>
      </c>
      <c r="H494" s="6">
        <v>504</v>
      </c>
      <c r="I494" s="7">
        <f t="shared" si="66"/>
        <v>12.6</v>
      </c>
      <c r="J494" s="6"/>
      <c r="K494" s="6"/>
      <c r="L494" s="6">
        <v>1</v>
      </c>
      <c r="M494" s="6"/>
      <c r="N494" s="6">
        <v>1</v>
      </c>
      <c r="O494" s="6"/>
      <c r="P494" s="7"/>
      <c r="Q494" s="6"/>
      <c r="R494" s="6"/>
      <c r="S494" s="7"/>
      <c r="T494" s="6"/>
      <c r="Y494" s="11"/>
      <c r="AB494" s="11"/>
      <c r="AD494" s="6"/>
      <c r="AE494" s="8" t="s">
        <v>756</v>
      </c>
    </row>
    <row r="495" spans="1:31" x14ac:dyDescent="0.25">
      <c r="A495" s="6" t="s">
        <v>1104</v>
      </c>
      <c r="B495" s="6">
        <v>17.5</v>
      </c>
      <c r="C495" s="6">
        <v>76</v>
      </c>
      <c r="D495" s="6">
        <v>12</v>
      </c>
      <c r="E495" s="6">
        <v>3</v>
      </c>
      <c r="F495" s="7">
        <f t="shared" si="65"/>
        <v>8.4444444444444446</v>
      </c>
      <c r="G495" s="6">
        <v>23</v>
      </c>
      <c r="H495" s="6">
        <v>707</v>
      </c>
      <c r="I495" s="7">
        <f t="shared" si="66"/>
        <v>30.739130434782609</v>
      </c>
      <c r="J495" s="6"/>
      <c r="K495" s="6"/>
      <c r="L495" s="6"/>
      <c r="M495" s="6"/>
      <c r="N495" s="6"/>
      <c r="O495" s="6"/>
      <c r="P495" s="7"/>
      <c r="Q495" s="6"/>
      <c r="R495" s="6"/>
      <c r="S495" s="7"/>
      <c r="T495" s="6"/>
      <c r="U495" s="13">
        <v>4</v>
      </c>
      <c r="V495" s="13">
        <v>4</v>
      </c>
      <c r="W495" s="13">
        <v>3</v>
      </c>
      <c r="Y495" s="11">
        <f t="shared" si="63"/>
        <v>1.3333333333333333</v>
      </c>
      <c r="Z495" s="13">
        <v>5</v>
      </c>
      <c r="AA495" s="13">
        <v>93</v>
      </c>
      <c r="AB495" s="11">
        <f t="shared" ref="AB495:AB563" si="67">AA495/Z495</f>
        <v>18.600000000000001</v>
      </c>
      <c r="AD495" s="6"/>
      <c r="AE495" s="8" t="s">
        <v>1149</v>
      </c>
    </row>
    <row r="496" spans="1:31" x14ac:dyDescent="0.25">
      <c r="A496" s="6" t="s">
        <v>911</v>
      </c>
      <c r="B496" s="6">
        <v>68.5</v>
      </c>
      <c r="C496" s="6">
        <v>1487</v>
      </c>
      <c r="D496" s="6">
        <v>74</v>
      </c>
      <c r="E496" s="6">
        <v>6</v>
      </c>
      <c r="F496" s="7">
        <f t="shared" si="65"/>
        <v>21.867647058823529</v>
      </c>
      <c r="G496" s="6">
        <v>101</v>
      </c>
      <c r="H496" s="6">
        <v>1921</v>
      </c>
      <c r="I496" s="6">
        <f t="shared" si="66"/>
        <v>19.019801980198018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>
        <v>18</v>
      </c>
      <c r="V496" s="6">
        <v>220</v>
      </c>
      <c r="W496" s="6">
        <v>15</v>
      </c>
      <c r="X496" s="6">
        <v>3</v>
      </c>
      <c r="Y496" s="11">
        <f t="shared" si="63"/>
        <v>18.333333333333332</v>
      </c>
      <c r="Z496" s="6">
        <v>17</v>
      </c>
      <c r="AA496" s="6">
        <v>290</v>
      </c>
      <c r="AB496" s="11">
        <f t="shared" si="67"/>
        <v>17.058823529411764</v>
      </c>
      <c r="AC496" s="6"/>
      <c r="AD496" s="6"/>
      <c r="AE496" s="8" t="s">
        <v>1150</v>
      </c>
    </row>
    <row r="497" spans="1:32" x14ac:dyDescent="0.25">
      <c r="A497" s="6" t="s">
        <v>928</v>
      </c>
      <c r="B497" s="6">
        <v>90.5</v>
      </c>
      <c r="C497" s="6">
        <v>1412</v>
      </c>
      <c r="D497" s="6">
        <v>87</v>
      </c>
      <c r="E497" s="6">
        <v>17</v>
      </c>
      <c r="F497" s="7">
        <f>(C497/(D497-E497))</f>
        <v>20.171428571428571</v>
      </c>
      <c r="G497" s="6">
        <v>68</v>
      </c>
      <c r="H497" s="6">
        <v>2264</v>
      </c>
      <c r="I497" s="7">
        <f>(H497/G497)</f>
        <v>33.294117647058826</v>
      </c>
      <c r="J497" s="6"/>
      <c r="K497" s="6"/>
      <c r="L497" s="6">
        <v>1</v>
      </c>
      <c r="M497" s="6">
        <v>52</v>
      </c>
      <c r="N497" s="6">
        <v>1</v>
      </c>
      <c r="O497" s="6"/>
      <c r="P497" s="7">
        <f t="shared" si="57"/>
        <v>52</v>
      </c>
      <c r="Q497" s="6"/>
      <c r="R497" s="6">
        <v>22</v>
      </c>
      <c r="S497" s="10"/>
      <c r="T497" s="6"/>
      <c r="U497" s="13">
        <v>2</v>
      </c>
      <c r="V497" s="13">
        <v>5</v>
      </c>
      <c r="W497" s="13">
        <v>2</v>
      </c>
      <c r="X497" s="13">
        <v>1</v>
      </c>
      <c r="Y497" s="11">
        <f t="shared" si="63"/>
        <v>5</v>
      </c>
      <c r="Z497" s="13">
        <v>2</v>
      </c>
      <c r="AA497" s="13">
        <v>21</v>
      </c>
      <c r="AB497" s="11">
        <f t="shared" si="67"/>
        <v>10.5</v>
      </c>
      <c r="AC497" s="13"/>
      <c r="AD497" s="6"/>
      <c r="AE497" s="8" t="s">
        <v>1037</v>
      </c>
    </row>
    <row r="498" spans="1:32" x14ac:dyDescent="0.25">
      <c r="A498" s="6" t="s">
        <v>365</v>
      </c>
      <c r="B498" s="6">
        <v>337</v>
      </c>
      <c r="C498" s="6">
        <v>11040</v>
      </c>
      <c r="D498" s="6">
        <v>364</v>
      </c>
      <c r="E498" s="6">
        <v>53</v>
      </c>
      <c r="F498" s="7">
        <f t="shared" si="65"/>
        <v>35.4983922829582</v>
      </c>
      <c r="G498" s="6">
        <v>39</v>
      </c>
      <c r="H498" s="6">
        <v>907</v>
      </c>
      <c r="I498" s="7">
        <f t="shared" si="66"/>
        <v>23.256410256410255</v>
      </c>
      <c r="J498" s="6"/>
      <c r="K498" s="6"/>
      <c r="L498" s="6">
        <v>32</v>
      </c>
      <c r="M498" s="6">
        <v>1127</v>
      </c>
      <c r="N498" s="6">
        <v>28</v>
      </c>
      <c r="O498" s="6">
        <v>19</v>
      </c>
      <c r="P498" s="11">
        <f t="shared" si="57"/>
        <v>125.22222222222223</v>
      </c>
      <c r="Q498" s="6">
        <v>16</v>
      </c>
      <c r="R498" s="6">
        <v>318</v>
      </c>
      <c r="S498" s="7">
        <f t="shared" si="60"/>
        <v>19.875</v>
      </c>
      <c r="T498" s="6"/>
      <c r="Y498" s="11"/>
      <c r="AB498" s="11"/>
      <c r="AD498" s="6"/>
      <c r="AE498" s="8" t="s">
        <v>945</v>
      </c>
    </row>
    <row r="499" spans="1:32" x14ac:dyDescent="0.25">
      <c r="A499" s="6" t="s">
        <v>366</v>
      </c>
      <c r="B499" s="6">
        <v>22</v>
      </c>
      <c r="C499" s="6">
        <v>189</v>
      </c>
      <c r="D499" s="6">
        <v>24</v>
      </c>
      <c r="E499" s="6">
        <v>5</v>
      </c>
      <c r="F499" s="7">
        <f t="shared" si="65"/>
        <v>9.9473684210526319</v>
      </c>
      <c r="G499" s="6"/>
      <c r="H499" s="6"/>
      <c r="I499" s="7"/>
      <c r="J499" s="6"/>
      <c r="K499" s="6"/>
      <c r="L499" s="6"/>
      <c r="M499" s="6"/>
      <c r="N499" s="6"/>
      <c r="O499" s="6"/>
      <c r="P499" s="7"/>
      <c r="Q499" s="6"/>
      <c r="R499" s="6"/>
      <c r="S499" s="7"/>
      <c r="T499" s="6"/>
      <c r="Y499" s="11"/>
      <c r="AA499" s="6"/>
      <c r="AB499" s="11"/>
    </row>
    <row r="500" spans="1:32" x14ac:dyDescent="0.25">
      <c r="A500" s="6" t="s">
        <v>669</v>
      </c>
      <c r="B500" s="14">
        <v>45</v>
      </c>
      <c r="C500" s="6">
        <v>738</v>
      </c>
      <c r="D500" s="6">
        <v>47</v>
      </c>
      <c r="E500" s="6">
        <v>5</v>
      </c>
      <c r="F500" s="7">
        <f t="shared" si="65"/>
        <v>17.571428571428573</v>
      </c>
      <c r="G500" s="6">
        <v>28</v>
      </c>
      <c r="H500" s="6">
        <v>823</v>
      </c>
      <c r="I500" s="7">
        <f t="shared" si="66"/>
        <v>29.392857142857142</v>
      </c>
      <c r="J500" s="6"/>
      <c r="K500" s="6"/>
      <c r="L500" s="6">
        <v>13</v>
      </c>
      <c r="M500" s="6">
        <v>153</v>
      </c>
      <c r="N500" s="6">
        <v>9</v>
      </c>
      <c r="O500" s="6">
        <v>3</v>
      </c>
      <c r="P500" s="7">
        <f t="shared" ref="P500:P504" si="68">(M500/(N500-O500))</f>
        <v>25.5</v>
      </c>
      <c r="Q500" s="6">
        <v>11</v>
      </c>
      <c r="R500" s="6">
        <v>371</v>
      </c>
      <c r="S500" s="7">
        <f t="shared" si="60"/>
        <v>33.727272727272727</v>
      </c>
      <c r="T500" s="6"/>
      <c r="U500" s="13">
        <v>2</v>
      </c>
      <c r="V500" s="13">
        <v>36</v>
      </c>
      <c r="W500" s="13">
        <v>2</v>
      </c>
      <c r="X500" s="13"/>
      <c r="Y500" s="11">
        <f t="shared" si="63"/>
        <v>18</v>
      </c>
      <c r="Z500" s="13"/>
      <c r="AA500" s="13">
        <v>15</v>
      </c>
      <c r="AB500" s="11"/>
      <c r="AC500" s="13"/>
      <c r="AD500" s="6"/>
      <c r="AE500" s="8" t="s">
        <v>886</v>
      </c>
    </row>
    <row r="501" spans="1:32" x14ac:dyDescent="0.25">
      <c r="A501" s="6" t="s">
        <v>367</v>
      </c>
      <c r="B501" s="6">
        <v>107</v>
      </c>
      <c r="C501" s="6">
        <v>3058</v>
      </c>
      <c r="D501" s="6">
        <v>117</v>
      </c>
      <c r="E501" s="6">
        <v>12</v>
      </c>
      <c r="F501" s="7">
        <f t="shared" si="65"/>
        <v>29.123809523809523</v>
      </c>
      <c r="G501" s="6">
        <v>91</v>
      </c>
      <c r="H501" s="6">
        <v>1505</v>
      </c>
      <c r="I501" s="7">
        <f t="shared" si="66"/>
        <v>16.53846153846154</v>
      </c>
      <c r="J501" s="6"/>
      <c r="K501" s="6"/>
      <c r="L501" s="6"/>
      <c r="M501" s="6"/>
      <c r="N501" s="6"/>
      <c r="O501" s="6"/>
      <c r="P501" s="7"/>
      <c r="Q501" s="6"/>
      <c r="R501" s="6"/>
      <c r="S501" s="7"/>
      <c r="T501" s="6"/>
      <c r="Y501" s="11"/>
      <c r="AA501" s="6"/>
      <c r="AB501" s="11"/>
    </row>
    <row r="502" spans="1:32" x14ac:dyDescent="0.25">
      <c r="A502" s="6" t="s">
        <v>887</v>
      </c>
      <c r="B502" s="6">
        <v>3.5</v>
      </c>
      <c r="C502" s="6">
        <v>78</v>
      </c>
      <c r="D502" s="6">
        <v>2</v>
      </c>
      <c r="E502" s="6"/>
      <c r="F502" s="7">
        <f t="shared" si="65"/>
        <v>39</v>
      </c>
      <c r="G502" s="6">
        <v>1</v>
      </c>
      <c r="H502" s="6">
        <v>3</v>
      </c>
      <c r="I502" s="7">
        <f t="shared" si="66"/>
        <v>3</v>
      </c>
      <c r="J502" s="6"/>
      <c r="K502" s="6"/>
      <c r="L502" s="6"/>
      <c r="M502" s="6"/>
      <c r="N502" s="6"/>
      <c r="O502" s="6"/>
      <c r="P502" s="7"/>
      <c r="Q502" s="6"/>
      <c r="R502" s="6"/>
      <c r="S502" s="7"/>
      <c r="T502" s="6"/>
      <c r="U502" s="6">
        <v>1</v>
      </c>
      <c r="V502" s="13">
        <v>9</v>
      </c>
      <c r="W502" s="6">
        <v>1</v>
      </c>
      <c r="X502" s="6">
        <v>1</v>
      </c>
      <c r="Y502" s="11"/>
      <c r="AA502" s="6"/>
      <c r="AB502" s="11"/>
      <c r="AD502" s="6"/>
      <c r="AE502" s="8" t="s">
        <v>888</v>
      </c>
    </row>
    <row r="503" spans="1:32" x14ac:dyDescent="0.25">
      <c r="A503" s="6" t="s">
        <v>368</v>
      </c>
      <c r="B503" s="6">
        <v>4</v>
      </c>
      <c r="C503" s="6">
        <v>9</v>
      </c>
      <c r="D503" s="6">
        <v>4</v>
      </c>
      <c r="E503" s="6"/>
      <c r="F503" s="7">
        <f t="shared" si="65"/>
        <v>2.25</v>
      </c>
      <c r="G503" s="6">
        <v>8</v>
      </c>
      <c r="H503" s="6">
        <v>144</v>
      </c>
      <c r="I503" s="7">
        <f t="shared" si="66"/>
        <v>18</v>
      </c>
      <c r="J503" s="6"/>
      <c r="K503" s="6"/>
      <c r="L503" s="6"/>
      <c r="M503" s="6"/>
      <c r="N503" s="6"/>
      <c r="O503" s="6"/>
      <c r="P503" s="7"/>
      <c r="Q503" s="6"/>
      <c r="R503" s="6"/>
      <c r="S503" s="7"/>
      <c r="T503" s="6"/>
      <c r="Y503" s="11"/>
      <c r="AA503" s="6"/>
      <c r="AB503" s="11"/>
    </row>
    <row r="504" spans="1:32" x14ac:dyDescent="0.25">
      <c r="A504" s="6" t="s">
        <v>790</v>
      </c>
      <c r="B504" s="6">
        <v>1</v>
      </c>
      <c r="C504" s="6">
        <v>8</v>
      </c>
      <c r="D504" s="6">
        <v>1</v>
      </c>
      <c r="E504" s="6"/>
      <c r="F504" s="7">
        <f t="shared" si="65"/>
        <v>8</v>
      </c>
      <c r="G504" s="6"/>
      <c r="H504" s="6">
        <v>21</v>
      </c>
      <c r="I504" s="7"/>
      <c r="J504" s="6"/>
      <c r="K504" s="6"/>
      <c r="L504" s="6">
        <v>1</v>
      </c>
      <c r="M504" s="6">
        <v>8</v>
      </c>
      <c r="N504" s="6">
        <v>1</v>
      </c>
      <c r="O504" s="6"/>
      <c r="P504" s="7">
        <f t="shared" si="68"/>
        <v>8</v>
      </c>
      <c r="Q504" s="6"/>
      <c r="R504" s="6">
        <v>21</v>
      </c>
      <c r="S504" s="7"/>
      <c r="T504" s="6"/>
      <c r="Y504" s="11"/>
      <c r="AB504" s="11"/>
      <c r="AD504" s="6"/>
      <c r="AE504" s="8" t="s">
        <v>23</v>
      </c>
    </row>
    <row r="505" spans="1:32" x14ac:dyDescent="0.25">
      <c r="A505" s="6" t="s">
        <v>369</v>
      </c>
      <c r="B505" s="6">
        <v>9</v>
      </c>
      <c r="C505" s="6">
        <v>150</v>
      </c>
      <c r="D505" s="6">
        <v>9</v>
      </c>
      <c r="E505" s="6">
        <v>1</v>
      </c>
      <c r="F505" s="7">
        <f t="shared" si="65"/>
        <v>18.75</v>
      </c>
      <c r="G505" s="6">
        <v>7</v>
      </c>
      <c r="H505" s="6">
        <v>175</v>
      </c>
      <c r="I505" s="7">
        <f t="shared" si="66"/>
        <v>25</v>
      </c>
      <c r="J505" s="6"/>
      <c r="K505" s="6"/>
      <c r="L505" s="6"/>
      <c r="M505" s="6"/>
      <c r="N505" s="6"/>
      <c r="O505" s="6"/>
      <c r="P505" s="7"/>
      <c r="Q505" s="6"/>
      <c r="R505" s="6"/>
      <c r="S505" s="7"/>
      <c r="T505" s="6"/>
      <c r="U505" s="13">
        <v>2</v>
      </c>
      <c r="Y505" s="11"/>
      <c r="AA505" s="6"/>
      <c r="AB505" s="11"/>
      <c r="AE505" s="13" t="s">
        <v>1105</v>
      </c>
    </row>
    <row r="506" spans="1:32" x14ac:dyDescent="0.25">
      <c r="A506" s="6" t="s">
        <v>1107</v>
      </c>
      <c r="B506" s="6">
        <v>13.5</v>
      </c>
      <c r="C506" s="6">
        <v>211</v>
      </c>
      <c r="D506" s="6">
        <v>13</v>
      </c>
      <c r="E506" s="6">
        <v>4</v>
      </c>
      <c r="F506" s="7"/>
      <c r="G506" s="6">
        <v>4</v>
      </c>
      <c r="H506" s="6">
        <v>420</v>
      </c>
      <c r="I506" s="7">
        <f t="shared" si="66"/>
        <v>105</v>
      </c>
      <c r="J506" s="6"/>
      <c r="K506" s="6"/>
      <c r="L506" s="6"/>
      <c r="M506" s="6"/>
      <c r="N506" s="6"/>
      <c r="O506" s="6"/>
      <c r="P506" s="7"/>
      <c r="Q506" s="6"/>
      <c r="R506" s="6"/>
      <c r="S506" s="7"/>
      <c r="T506" s="6"/>
      <c r="U506" s="13">
        <v>3</v>
      </c>
      <c r="V506" s="13">
        <v>9</v>
      </c>
      <c r="W506" s="13">
        <v>2</v>
      </c>
      <c r="X506" s="13"/>
      <c r="Y506" s="11">
        <f t="shared" si="63"/>
        <v>4.5</v>
      </c>
      <c r="Z506" s="13">
        <v>2</v>
      </c>
      <c r="AA506" s="13">
        <v>58</v>
      </c>
      <c r="AB506" s="11">
        <f t="shared" si="67"/>
        <v>29</v>
      </c>
      <c r="AC506" s="13"/>
      <c r="AD506" s="13"/>
      <c r="AE506" s="13"/>
      <c r="AF506" s="13"/>
    </row>
    <row r="507" spans="1:32" x14ac:dyDescent="0.25">
      <c r="A507" s="6" t="s">
        <v>1063</v>
      </c>
      <c r="B507" s="6">
        <v>22.5</v>
      </c>
      <c r="C507" s="6">
        <v>344</v>
      </c>
      <c r="D507" s="6">
        <v>21</v>
      </c>
      <c r="E507" s="6">
        <v>1</v>
      </c>
      <c r="F507" s="7">
        <f t="shared" si="65"/>
        <v>17.2</v>
      </c>
      <c r="G507" s="6">
        <v>17</v>
      </c>
      <c r="H507" s="6">
        <v>820</v>
      </c>
      <c r="I507" s="7">
        <f t="shared" si="66"/>
        <v>48.235294117647058</v>
      </c>
      <c r="J507" s="6"/>
      <c r="K507" s="6"/>
      <c r="L507" s="6"/>
      <c r="M507" s="6"/>
      <c r="N507" s="6"/>
      <c r="O507" s="6"/>
      <c r="P507" s="7"/>
      <c r="Q507" s="6"/>
      <c r="R507" s="6"/>
      <c r="S507" s="7"/>
      <c r="T507" s="6"/>
      <c r="U507" s="13">
        <v>7</v>
      </c>
      <c r="V507" s="13">
        <v>164</v>
      </c>
      <c r="W507" s="13">
        <v>5</v>
      </c>
      <c r="X507" s="13">
        <v>1</v>
      </c>
      <c r="Y507" s="11">
        <f t="shared" si="63"/>
        <v>41</v>
      </c>
      <c r="Z507" s="13">
        <v>5</v>
      </c>
      <c r="AA507" s="6">
        <v>89</v>
      </c>
      <c r="AB507" s="11">
        <f t="shared" si="67"/>
        <v>17.8</v>
      </c>
      <c r="AE507" s="13" t="s">
        <v>1108</v>
      </c>
    </row>
    <row r="508" spans="1:32" x14ac:dyDescent="0.25">
      <c r="A508" s="6" t="s">
        <v>912</v>
      </c>
      <c r="B508" s="6">
        <v>1</v>
      </c>
      <c r="C508" s="6">
        <v>8</v>
      </c>
      <c r="D508" s="6">
        <v>2</v>
      </c>
      <c r="E508" s="6"/>
      <c r="F508" s="7">
        <f t="shared" si="65"/>
        <v>4</v>
      </c>
      <c r="G508" s="6">
        <v>1</v>
      </c>
      <c r="H508" s="6">
        <v>55</v>
      </c>
      <c r="I508" s="6">
        <f t="shared" si="66"/>
        <v>55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>
        <v>2</v>
      </c>
      <c r="V508" s="6"/>
      <c r="W508" s="6"/>
      <c r="X508" s="6"/>
      <c r="Y508" s="11"/>
      <c r="Z508" s="6">
        <v>1</v>
      </c>
      <c r="AA508" s="6">
        <v>55</v>
      </c>
      <c r="AB508" s="11">
        <f t="shared" si="67"/>
        <v>55</v>
      </c>
      <c r="AC508" s="6"/>
      <c r="AD508" s="6"/>
      <c r="AE508" t="s">
        <v>923</v>
      </c>
    </row>
    <row r="509" spans="1:32" x14ac:dyDescent="0.25">
      <c r="A509" s="6" t="s">
        <v>370</v>
      </c>
      <c r="B509" s="6">
        <v>17</v>
      </c>
      <c r="C509" s="6">
        <v>78</v>
      </c>
      <c r="D509" s="6">
        <v>14</v>
      </c>
      <c r="E509" s="6">
        <v>4</v>
      </c>
      <c r="F509" s="7">
        <f t="shared" si="65"/>
        <v>7.8</v>
      </c>
      <c r="G509" s="6">
        <v>19</v>
      </c>
      <c r="H509" s="6">
        <v>414</v>
      </c>
      <c r="I509" s="7">
        <f t="shared" si="66"/>
        <v>21.789473684210527</v>
      </c>
      <c r="J509" s="6"/>
      <c r="K509" s="6"/>
      <c r="L509" s="6"/>
      <c r="M509" s="6"/>
      <c r="N509" s="6"/>
      <c r="O509" s="6"/>
      <c r="P509" s="7"/>
      <c r="Q509" s="6"/>
      <c r="R509" s="6"/>
      <c r="S509" s="7"/>
      <c r="T509" s="6"/>
      <c r="Y509" s="11"/>
      <c r="AA509" s="6"/>
      <c r="AB509" s="11"/>
    </row>
    <row r="510" spans="1:32" x14ac:dyDescent="0.25">
      <c r="A510" s="6" t="s">
        <v>1106</v>
      </c>
      <c r="B510" s="6">
        <v>7</v>
      </c>
      <c r="C510" s="6">
        <v>158</v>
      </c>
      <c r="D510" s="6">
        <v>6</v>
      </c>
      <c r="E510" s="6">
        <v>1</v>
      </c>
      <c r="F510" s="7">
        <f t="shared" si="65"/>
        <v>31.6</v>
      </c>
      <c r="G510" s="6">
        <v>8</v>
      </c>
      <c r="H510" s="6">
        <v>194</v>
      </c>
      <c r="I510" s="7">
        <f t="shared" si="66"/>
        <v>24.25</v>
      </c>
      <c r="J510" s="6"/>
      <c r="K510" s="6"/>
      <c r="L510" s="6"/>
      <c r="M510" s="6"/>
      <c r="N510" s="6"/>
      <c r="O510" s="6"/>
      <c r="P510" s="7"/>
      <c r="Q510" s="6"/>
      <c r="R510" s="6"/>
      <c r="S510" s="7"/>
      <c r="T510" s="6"/>
      <c r="U510" s="13">
        <v>2</v>
      </c>
      <c r="V510" s="13">
        <v>2</v>
      </c>
      <c r="W510" s="13">
        <v>1</v>
      </c>
      <c r="Y510" s="11">
        <f t="shared" si="63"/>
        <v>2</v>
      </c>
      <c r="AA510" s="6"/>
      <c r="AB510" s="11"/>
      <c r="AE510" s="13" t="s">
        <v>1105</v>
      </c>
    </row>
    <row r="511" spans="1:32" x14ac:dyDescent="0.25">
      <c r="A511" s="6" t="s">
        <v>371</v>
      </c>
      <c r="B511" s="6">
        <v>6</v>
      </c>
      <c r="C511" s="6">
        <v>14</v>
      </c>
      <c r="D511" s="6">
        <v>7</v>
      </c>
      <c r="E511" s="6"/>
      <c r="F511" s="7">
        <f t="shared" si="65"/>
        <v>2</v>
      </c>
      <c r="G511" s="6">
        <v>2</v>
      </c>
      <c r="H511" s="6">
        <v>100</v>
      </c>
      <c r="I511" s="7">
        <f t="shared" si="66"/>
        <v>50</v>
      </c>
      <c r="J511" s="6"/>
      <c r="K511" s="6"/>
      <c r="L511" s="6"/>
      <c r="M511" s="6"/>
      <c r="N511" s="6"/>
      <c r="O511" s="6"/>
      <c r="P511" s="7"/>
      <c r="Q511" s="6"/>
      <c r="R511" s="6"/>
      <c r="S511" s="7"/>
      <c r="T511" s="6"/>
      <c r="Y511" s="11"/>
      <c r="AA511" s="6"/>
      <c r="AB511" s="11"/>
    </row>
    <row r="512" spans="1:32" x14ac:dyDescent="0.25">
      <c r="A512" s="6" t="s">
        <v>372</v>
      </c>
      <c r="B512" s="6">
        <v>1</v>
      </c>
      <c r="C512" s="6">
        <v>14</v>
      </c>
      <c r="D512" s="6">
        <v>1</v>
      </c>
      <c r="E512" s="6"/>
      <c r="F512" s="7">
        <f t="shared" si="65"/>
        <v>14</v>
      </c>
      <c r="G512" s="6">
        <v>1</v>
      </c>
      <c r="H512" s="6">
        <v>14</v>
      </c>
      <c r="I512" s="7">
        <f t="shared" si="66"/>
        <v>14</v>
      </c>
      <c r="J512" s="6"/>
      <c r="K512" s="6"/>
      <c r="L512" s="6"/>
      <c r="M512" s="6"/>
      <c r="N512" s="6"/>
      <c r="O512" s="6"/>
      <c r="P512" s="7"/>
      <c r="Q512" s="6"/>
      <c r="R512" s="6"/>
      <c r="S512" s="7"/>
      <c r="T512" s="6"/>
      <c r="X512" s="6">
        <v>8</v>
      </c>
      <c r="Y512" s="11">
        <f t="shared" si="63"/>
        <v>0</v>
      </c>
      <c r="AA512" s="6"/>
      <c r="AB512" s="11"/>
    </row>
    <row r="513" spans="1:31" x14ac:dyDescent="0.25">
      <c r="A513" s="6" t="s">
        <v>1151</v>
      </c>
      <c r="B513" s="6">
        <v>8.5</v>
      </c>
      <c r="C513" s="6">
        <v>41</v>
      </c>
      <c r="D513" s="6">
        <v>7</v>
      </c>
      <c r="E513" s="6">
        <v>2</v>
      </c>
      <c r="F513" s="7">
        <f t="shared" si="65"/>
        <v>8.1999999999999993</v>
      </c>
      <c r="G513" s="6">
        <v>11</v>
      </c>
      <c r="H513" s="6">
        <v>124</v>
      </c>
      <c r="I513" s="7">
        <f t="shared" si="66"/>
        <v>11.272727272727273</v>
      </c>
      <c r="J513" s="6"/>
      <c r="K513" s="6"/>
      <c r="L513" s="6"/>
      <c r="M513" s="6"/>
      <c r="N513" s="6"/>
      <c r="O513" s="6"/>
      <c r="P513" s="7"/>
      <c r="Q513" s="6"/>
      <c r="R513" s="6"/>
      <c r="S513" s="7"/>
      <c r="T513" s="6"/>
      <c r="X513" s="6"/>
      <c r="Y513" s="11"/>
      <c r="AA513" s="6"/>
      <c r="AB513" s="11"/>
      <c r="AE513" s="1" t="s">
        <v>1152</v>
      </c>
    </row>
    <row r="514" spans="1:31" x14ac:dyDescent="0.25">
      <c r="A514" s="6" t="s">
        <v>373</v>
      </c>
      <c r="B514" s="6">
        <v>3</v>
      </c>
      <c r="C514" s="6">
        <v>6</v>
      </c>
      <c r="D514" s="6">
        <v>1</v>
      </c>
      <c r="E514" s="6"/>
      <c r="F514" s="7">
        <f t="shared" si="65"/>
        <v>6</v>
      </c>
      <c r="G514" s="6"/>
      <c r="H514" s="6"/>
      <c r="I514" s="7"/>
      <c r="J514" s="6"/>
      <c r="K514" s="6"/>
      <c r="L514" s="6"/>
      <c r="M514" s="6"/>
      <c r="N514" s="6"/>
      <c r="O514" s="6"/>
      <c r="P514" s="7"/>
      <c r="Q514" s="6"/>
      <c r="R514" s="6"/>
      <c r="S514" s="7"/>
      <c r="T514" s="6"/>
      <c r="Y514" s="11"/>
      <c r="AA514" s="6"/>
      <c r="AB514" s="11"/>
    </row>
    <row r="515" spans="1:31" x14ac:dyDescent="0.25">
      <c r="A515" s="6" t="s">
        <v>374</v>
      </c>
      <c r="B515" s="6">
        <v>25</v>
      </c>
      <c r="C515" s="6">
        <v>40</v>
      </c>
      <c r="D515" s="6">
        <v>15</v>
      </c>
      <c r="E515" s="6">
        <v>9</v>
      </c>
      <c r="F515" s="7">
        <f t="shared" si="65"/>
        <v>6.666666666666667</v>
      </c>
      <c r="G515" s="6">
        <v>41</v>
      </c>
      <c r="H515" s="6">
        <v>721</v>
      </c>
      <c r="I515" s="7">
        <f t="shared" si="66"/>
        <v>17.585365853658537</v>
      </c>
      <c r="J515" s="6"/>
      <c r="K515" s="6"/>
      <c r="L515" s="6"/>
      <c r="M515" s="6"/>
      <c r="N515" s="6"/>
      <c r="O515" s="6"/>
      <c r="P515" s="7"/>
      <c r="Q515" s="6"/>
      <c r="R515" s="6"/>
      <c r="S515" s="7"/>
      <c r="T515" s="6"/>
      <c r="Y515" s="11"/>
      <c r="AA515" s="6"/>
      <c r="AB515" s="11"/>
    </row>
    <row r="516" spans="1:31" x14ac:dyDescent="0.25">
      <c r="A516" s="6" t="s">
        <v>375</v>
      </c>
      <c r="B516" s="6">
        <v>12</v>
      </c>
      <c r="C516" s="6">
        <v>229</v>
      </c>
      <c r="D516" s="6">
        <v>11</v>
      </c>
      <c r="E516" s="6"/>
      <c r="F516" s="7">
        <f t="shared" si="65"/>
        <v>20.818181818181817</v>
      </c>
      <c r="G516" s="6"/>
      <c r="H516" s="6">
        <v>70</v>
      </c>
      <c r="I516" s="7"/>
      <c r="J516" s="6"/>
      <c r="K516" s="6"/>
      <c r="L516" s="6"/>
      <c r="M516" s="6"/>
      <c r="N516" s="6"/>
      <c r="O516" s="6"/>
      <c r="P516" s="7"/>
      <c r="Q516" s="6"/>
      <c r="R516" s="6"/>
      <c r="S516" s="7"/>
      <c r="T516" s="6"/>
      <c r="Y516" s="11"/>
      <c r="AA516" s="6"/>
      <c r="AB516" s="11"/>
    </row>
    <row r="517" spans="1:31" x14ac:dyDescent="0.25">
      <c r="A517" s="6" t="s">
        <v>376</v>
      </c>
      <c r="B517" s="6">
        <v>8</v>
      </c>
      <c r="C517" s="6">
        <v>88</v>
      </c>
      <c r="D517" s="6">
        <v>11</v>
      </c>
      <c r="E517" s="6">
        <v>1</v>
      </c>
      <c r="F517" s="7">
        <f t="shared" si="65"/>
        <v>8.8000000000000007</v>
      </c>
      <c r="G517" s="6">
        <v>13</v>
      </c>
      <c r="H517" s="6">
        <v>204</v>
      </c>
      <c r="I517" s="7">
        <f t="shared" si="66"/>
        <v>15.692307692307692</v>
      </c>
      <c r="J517" s="6"/>
      <c r="K517" s="6"/>
      <c r="L517" s="6"/>
      <c r="M517" s="6"/>
      <c r="N517" s="6"/>
      <c r="O517" s="6"/>
      <c r="P517" s="7"/>
      <c r="Q517" s="6"/>
      <c r="R517" s="6"/>
      <c r="S517" s="7"/>
      <c r="T517" s="6"/>
      <c r="Y517" s="11"/>
      <c r="AA517" s="6"/>
      <c r="AB517" s="11"/>
    </row>
    <row r="518" spans="1:31" x14ac:dyDescent="0.25">
      <c r="A518" s="6" t="s">
        <v>377</v>
      </c>
      <c r="B518" s="6">
        <v>70</v>
      </c>
      <c r="C518" s="6">
        <v>1826</v>
      </c>
      <c r="D518" s="6">
        <v>84</v>
      </c>
      <c r="E518" s="6">
        <v>4</v>
      </c>
      <c r="F518" s="7">
        <f t="shared" si="65"/>
        <v>22.824999999999999</v>
      </c>
      <c r="G518" s="6">
        <v>3</v>
      </c>
      <c r="H518" s="6">
        <v>77</v>
      </c>
      <c r="I518" s="7">
        <f t="shared" si="66"/>
        <v>25.666666666666668</v>
      </c>
      <c r="J518" s="6"/>
      <c r="K518" s="6"/>
      <c r="L518" s="6"/>
      <c r="M518" s="6"/>
      <c r="N518" s="6"/>
      <c r="O518" s="6"/>
      <c r="P518" s="7"/>
      <c r="Q518" s="6"/>
      <c r="R518" s="6"/>
      <c r="S518" s="7"/>
      <c r="T518" s="6"/>
      <c r="Y518" s="11"/>
      <c r="AA518" s="6"/>
      <c r="AB518" s="11"/>
    </row>
    <row r="519" spans="1:31" x14ac:dyDescent="0.25">
      <c r="A519" s="6" t="s">
        <v>378</v>
      </c>
      <c r="B519" s="6">
        <v>64</v>
      </c>
      <c r="C519" s="6">
        <v>987</v>
      </c>
      <c r="D519" s="6">
        <v>72</v>
      </c>
      <c r="E519" s="6">
        <v>9</v>
      </c>
      <c r="F519" s="7">
        <f t="shared" si="65"/>
        <v>15.666666666666666</v>
      </c>
      <c r="G519" s="6">
        <v>7</v>
      </c>
      <c r="H519" s="6">
        <v>102</v>
      </c>
      <c r="I519" s="7">
        <f t="shared" si="66"/>
        <v>14.571428571428571</v>
      </c>
      <c r="J519" s="6"/>
      <c r="K519" s="6"/>
      <c r="L519" s="6"/>
      <c r="M519" s="6"/>
      <c r="N519" s="6"/>
      <c r="O519" s="6"/>
      <c r="P519" s="7"/>
      <c r="Q519" s="6"/>
      <c r="R519" s="6"/>
      <c r="S519" s="7"/>
      <c r="T519" s="6"/>
      <c r="Y519" s="11"/>
      <c r="AA519" s="6"/>
      <c r="AB519" s="11"/>
    </row>
    <row r="520" spans="1:31" x14ac:dyDescent="0.25">
      <c r="A520" s="6" t="s">
        <v>379</v>
      </c>
      <c r="B520" s="6">
        <v>125</v>
      </c>
      <c r="C520" s="6">
        <v>2225</v>
      </c>
      <c r="D520" s="6">
        <v>140</v>
      </c>
      <c r="E520" s="6">
        <v>9</v>
      </c>
      <c r="F520" s="7">
        <f t="shared" si="65"/>
        <v>16.984732824427482</v>
      </c>
      <c r="G520" s="6">
        <v>16</v>
      </c>
      <c r="H520" s="6">
        <v>343</v>
      </c>
      <c r="I520" s="7">
        <f t="shared" si="66"/>
        <v>21.4375</v>
      </c>
      <c r="J520" s="6"/>
      <c r="K520" s="6"/>
      <c r="L520" s="6"/>
      <c r="M520" s="6"/>
      <c r="N520" s="6"/>
      <c r="O520" s="6"/>
      <c r="P520" s="7"/>
      <c r="Q520" s="6"/>
      <c r="R520" s="6"/>
      <c r="S520" s="7"/>
      <c r="T520" s="6"/>
      <c r="Y520" s="11"/>
      <c r="AA520" s="6"/>
      <c r="AB520" s="11"/>
    </row>
    <row r="521" spans="1:31" x14ac:dyDescent="0.25">
      <c r="A521" s="6" t="s">
        <v>380</v>
      </c>
      <c r="B521" s="6">
        <v>86.5</v>
      </c>
      <c r="C521" s="6">
        <v>1203</v>
      </c>
      <c r="D521" s="6">
        <v>111</v>
      </c>
      <c r="E521" s="6">
        <v>14</v>
      </c>
      <c r="F521" s="7">
        <f t="shared" si="65"/>
        <v>12.402061855670103</v>
      </c>
      <c r="G521" s="6">
        <v>15</v>
      </c>
      <c r="H521" s="6">
        <v>365</v>
      </c>
      <c r="I521" s="7">
        <f t="shared" si="66"/>
        <v>24.333333333333332</v>
      </c>
      <c r="J521" s="6"/>
      <c r="K521" s="6"/>
      <c r="L521" s="6">
        <v>133</v>
      </c>
      <c r="M521" s="6">
        <v>1168</v>
      </c>
      <c r="N521" s="6">
        <v>102</v>
      </c>
      <c r="O521" s="6">
        <v>13</v>
      </c>
      <c r="P521" s="7">
        <f t="shared" ref="P521:P613" si="69">(M521/(N521-O521))</f>
        <v>13.123595505617978</v>
      </c>
      <c r="Q521" s="6">
        <v>13</v>
      </c>
      <c r="R521" s="6">
        <v>327</v>
      </c>
      <c r="S521" s="7">
        <f t="shared" ref="S521:S613" si="70">(R521/Q521)</f>
        <v>25.153846153846153</v>
      </c>
      <c r="T521" s="6"/>
      <c r="Y521" s="11"/>
      <c r="AB521" s="11"/>
      <c r="AD521" s="6"/>
      <c r="AE521" s="8" t="s">
        <v>381</v>
      </c>
    </row>
    <row r="522" spans="1:31" x14ac:dyDescent="0.25">
      <c r="A522" s="6" t="s">
        <v>382</v>
      </c>
      <c r="B522" s="6">
        <v>2</v>
      </c>
      <c r="C522" s="6">
        <v>1</v>
      </c>
      <c r="D522" s="6">
        <v>1</v>
      </c>
      <c r="E522" s="6">
        <v>1</v>
      </c>
      <c r="F522" s="7"/>
      <c r="G522" s="6"/>
      <c r="H522" s="6"/>
      <c r="I522" s="7"/>
      <c r="J522" s="6"/>
      <c r="K522" s="6"/>
      <c r="L522" s="6">
        <v>2</v>
      </c>
      <c r="M522" s="6">
        <v>1</v>
      </c>
      <c r="N522" s="6">
        <v>1</v>
      </c>
      <c r="O522" s="6">
        <v>1</v>
      </c>
      <c r="P522" s="7"/>
      <c r="Q522" s="6"/>
      <c r="R522" s="6"/>
      <c r="S522" s="7"/>
      <c r="T522" s="6"/>
      <c r="Y522" s="11"/>
      <c r="AB522" s="11"/>
      <c r="AD522" s="6"/>
      <c r="AE522" s="8" t="s">
        <v>41</v>
      </c>
    </row>
    <row r="523" spans="1:31" x14ac:dyDescent="0.25">
      <c r="A523" s="6" t="s">
        <v>383</v>
      </c>
      <c r="B523" s="6">
        <v>434</v>
      </c>
      <c r="C523" s="6">
        <v>8740</v>
      </c>
      <c r="D523" s="6">
        <v>461</v>
      </c>
      <c r="E523" s="6">
        <v>49</v>
      </c>
      <c r="F523" s="7">
        <f t="shared" si="65"/>
        <v>21.21359223300971</v>
      </c>
      <c r="G523" s="6">
        <v>393</v>
      </c>
      <c r="H523" s="6">
        <v>9518</v>
      </c>
      <c r="I523" s="7">
        <v>22.47</v>
      </c>
      <c r="J523" s="6"/>
      <c r="K523" s="6"/>
      <c r="L523" s="6">
        <v>207</v>
      </c>
      <c r="M523" s="6">
        <v>2998</v>
      </c>
      <c r="N523" s="6">
        <v>166</v>
      </c>
      <c r="O523" s="6">
        <v>27</v>
      </c>
      <c r="P523" s="7">
        <f t="shared" si="69"/>
        <v>21.568345323741006</v>
      </c>
      <c r="Q523" s="6">
        <v>155</v>
      </c>
      <c r="R523" s="6">
        <v>4016</v>
      </c>
      <c r="S523" s="7">
        <f t="shared" si="70"/>
        <v>25.909677419354839</v>
      </c>
      <c r="T523" s="6"/>
      <c r="U523" s="13">
        <v>18</v>
      </c>
      <c r="V523" s="13">
        <v>165</v>
      </c>
      <c r="W523" s="13">
        <v>13</v>
      </c>
      <c r="X523" s="8"/>
      <c r="Y523" s="11">
        <f t="shared" ref="Y523:Y592" si="71">(V523)/(W523-X523)</f>
        <v>12.692307692307692</v>
      </c>
      <c r="Z523" s="13">
        <v>2</v>
      </c>
      <c r="AA523" s="13">
        <v>33</v>
      </c>
      <c r="AB523" s="11">
        <f t="shared" si="67"/>
        <v>16.5</v>
      </c>
      <c r="AD523" s="6"/>
      <c r="AE523" s="8" t="s">
        <v>1119</v>
      </c>
    </row>
    <row r="524" spans="1:31" x14ac:dyDescent="0.25">
      <c r="A524" s="6" t="s">
        <v>384</v>
      </c>
      <c r="B524" s="6">
        <v>1</v>
      </c>
      <c r="C524" s="6">
        <v>5</v>
      </c>
      <c r="D524" s="6">
        <v>1</v>
      </c>
      <c r="E524" s="6"/>
      <c r="F524" s="7">
        <f t="shared" si="65"/>
        <v>5</v>
      </c>
      <c r="G524" s="6"/>
      <c r="H524" s="6"/>
      <c r="I524" s="7"/>
      <c r="J524" s="6"/>
      <c r="K524" s="6"/>
      <c r="L524" s="6">
        <v>1</v>
      </c>
      <c r="M524" s="6">
        <v>5</v>
      </c>
      <c r="N524" s="6">
        <v>1</v>
      </c>
      <c r="O524" s="6"/>
      <c r="P524" s="7">
        <f t="shared" si="69"/>
        <v>5</v>
      </c>
      <c r="Q524" s="6"/>
      <c r="R524" s="6"/>
      <c r="S524" s="7"/>
      <c r="T524" s="6"/>
      <c r="Y524" s="11"/>
      <c r="AA524" s="6"/>
      <c r="AB524" s="11"/>
    </row>
    <row r="525" spans="1:31" x14ac:dyDescent="0.25">
      <c r="A525" s="6" t="s">
        <v>385</v>
      </c>
      <c r="B525" s="6">
        <v>101</v>
      </c>
      <c r="C525" s="6">
        <v>1384</v>
      </c>
      <c r="D525" s="6">
        <v>108</v>
      </c>
      <c r="E525" s="6">
        <v>20</v>
      </c>
      <c r="F525" s="7">
        <f t="shared" si="65"/>
        <v>15.727272727272727</v>
      </c>
      <c r="G525" s="6">
        <v>177</v>
      </c>
      <c r="H525" s="6">
        <v>3267</v>
      </c>
      <c r="I525" s="7">
        <f t="shared" si="66"/>
        <v>18.457627118644069</v>
      </c>
      <c r="J525" s="6"/>
      <c r="K525" s="6"/>
      <c r="L525" s="6"/>
      <c r="M525" s="6"/>
      <c r="N525" s="6"/>
      <c r="O525" s="6"/>
      <c r="P525" s="7"/>
      <c r="Q525" s="6"/>
      <c r="R525" s="6"/>
      <c r="S525" s="7"/>
      <c r="T525" s="6"/>
      <c r="Y525" s="11"/>
      <c r="AA525" s="6"/>
      <c r="AB525" s="11"/>
    </row>
    <row r="526" spans="1:31" x14ac:dyDescent="0.25">
      <c r="A526" s="6" t="s">
        <v>386</v>
      </c>
      <c r="B526" s="6">
        <v>153</v>
      </c>
      <c r="C526" s="6">
        <v>2753</v>
      </c>
      <c r="D526" s="6">
        <v>158</v>
      </c>
      <c r="E526" s="6">
        <v>19</v>
      </c>
      <c r="F526" s="7">
        <f t="shared" si="65"/>
        <v>19.805755395683452</v>
      </c>
      <c r="G526" s="6">
        <v>36</v>
      </c>
      <c r="H526" s="6">
        <v>868</v>
      </c>
      <c r="I526" s="7">
        <f t="shared" si="66"/>
        <v>24.111111111111111</v>
      </c>
      <c r="J526" s="6"/>
      <c r="K526" s="6"/>
      <c r="L526" s="6">
        <v>1</v>
      </c>
      <c r="M526" s="6">
        <v>28</v>
      </c>
      <c r="N526" s="6">
        <v>1</v>
      </c>
      <c r="O526" s="6"/>
      <c r="P526" s="7">
        <f t="shared" si="69"/>
        <v>28</v>
      </c>
      <c r="Q526" s="6"/>
      <c r="R526" s="6"/>
      <c r="S526" s="7"/>
      <c r="T526" s="6"/>
      <c r="Y526" s="11"/>
      <c r="AB526" s="11"/>
      <c r="AD526" s="6"/>
      <c r="AE526" s="8" t="s">
        <v>387</v>
      </c>
    </row>
    <row r="527" spans="1:31" x14ac:dyDescent="0.25">
      <c r="A527" s="6" t="s">
        <v>388</v>
      </c>
      <c r="B527" s="6">
        <v>104</v>
      </c>
      <c r="C527" s="6">
        <v>1849</v>
      </c>
      <c r="D527" s="6">
        <v>105</v>
      </c>
      <c r="E527" s="6">
        <v>21</v>
      </c>
      <c r="F527" s="7">
        <f t="shared" si="65"/>
        <v>22.011904761904763</v>
      </c>
      <c r="G527" s="6">
        <v>84</v>
      </c>
      <c r="H527" s="6">
        <v>1137</v>
      </c>
      <c r="I527" s="7">
        <f t="shared" si="66"/>
        <v>13.535714285714286</v>
      </c>
      <c r="J527" s="6"/>
      <c r="K527" s="6"/>
      <c r="L527" s="6"/>
      <c r="M527" s="6"/>
      <c r="N527" s="6"/>
      <c r="O527" s="6"/>
      <c r="P527" s="7"/>
      <c r="Q527" s="6"/>
      <c r="R527" s="6"/>
      <c r="S527" s="7"/>
      <c r="T527" s="6"/>
      <c r="Y527" s="11"/>
      <c r="AA527" s="6"/>
      <c r="AB527" s="11"/>
    </row>
    <row r="528" spans="1:31" x14ac:dyDescent="0.25">
      <c r="A528" s="6" t="s">
        <v>389</v>
      </c>
      <c r="B528" s="6">
        <v>6</v>
      </c>
      <c r="C528" s="6">
        <v>58</v>
      </c>
      <c r="D528" s="6">
        <v>5</v>
      </c>
      <c r="E528" s="6">
        <v>1</v>
      </c>
      <c r="F528" s="7">
        <f t="shared" si="65"/>
        <v>14.5</v>
      </c>
      <c r="G528" s="6">
        <v>1</v>
      </c>
      <c r="H528" s="6">
        <v>31</v>
      </c>
      <c r="I528" s="7">
        <f t="shared" si="66"/>
        <v>31</v>
      </c>
      <c r="J528" s="6"/>
      <c r="K528" s="6"/>
      <c r="L528" s="6"/>
      <c r="M528" s="6"/>
      <c r="N528" s="6"/>
      <c r="O528" s="6"/>
      <c r="P528" s="7"/>
      <c r="Q528" s="6"/>
      <c r="R528" s="6"/>
      <c r="S528" s="7"/>
      <c r="T528" s="6"/>
      <c r="Y528" s="11"/>
      <c r="AA528" s="6"/>
      <c r="AB528" s="11"/>
    </row>
    <row r="529" spans="1:31" x14ac:dyDescent="0.25">
      <c r="A529" s="6" t="s">
        <v>390</v>
      </c>
      <c r="B529" s="6">
        <v>23</v>
      </c>
      <c r="C529" s="6">
        <v>187</v>
      </c>
      <c r="D529" s="6">
        <v>24</v>
      </c>
      <c r="E529" s="6">
        <v>3</v>
      </c>
      <c r="F529" s="7">
        <f t="shared" si="65"/>
        <v>8.9047619047619051</v>
      </c>
      <c r="G529" s="6">
        <v>48</v>
      </c>
      <c r="H529" s="6">
        <v>753</v>
      </c>
      <c r="I529" s="7">
        <f t="shared" si="66"/>
        <v>15.6875</v>
      </c>
      <c r="J529" s="6"/>
      <c r="K529" s="6"/>
      <c r="L529" s="6"/>
      <c r="M529" s="6"/>
      <c r="N529" s="6"/>
      <c r="O529" s="6"/>
      <c r="P529" s="7"/>
      <c r="Q529" s="6"/>
      <c r="R529" s="6"/>
      <c r="S529" s="7"/>
      <c r="T529" s="6"/>
      <c r="Y529" s="11"/>
      <c r="AA529" s="6"/>
      <c r="AB529" s="11"/>
    </row>
    <row r="530" spans="1:31" x14ac:dyDescent="0.25">
      <c r="A530" s="6" t="s">
        <v>391</v>
      </c>
      <c r="B530" s="6">
        <v>10</v>
      </c>
      <c r="C530" s="6">
        <v>54</v>
      </c>
      <c r="D530" s="6">
        <v>13</v>
      </c>
      <c r="E530" s="6">
        <v>4</v>
      </c>
      <c r="F530" s="7">
        <f t="shared" si="65"/>
        <v>6</v>
      </c>
      <c r="G530" s="6"/>
      <c r="H530" s="6"/>
      <c r="I530" s="7"/>
      <c r="J530" s="6"/>
      <c r="K530" s="6"/>
      <c r="L530" s="6"/>
      <c r="M530" s="6"/>
      <c r="N530" s="6"/>
      <c r="O530" s="6"/>
      <c r="P530" s="7"/>
      <c r="Q530" s="6"/>
      <c r="R530" s="6"/>
      <c r="S530" s="7"/>
      <c r="T530" s="6"/>
      <c r="Y530" s="11"/>
      <c r="AA530" s="6"/>
      <c r="AB530" s="11"/>
    </row>
    <row r="531" spans="1:31" x14ac:dyDescent="0.25">
      <c r="A531" s="6" t="s">
        <v>392</v>
      </c>
      <c r="B531" s="6">
        <v>10</v>
      </c>
      <c r="C531" s="6">
        <v>53</v>
      </c>
      <c r="D531" s="6">
        <v>15</v>
      </c>
      <c r="E531" s="6">
        <v>2</v>
      </c>
      <c r="F531" s="7">
        <f t="shared" si="65"/>
        <v>4.0769230769230766</v>
      </c>
      <c r="G531" s="6"/>
      <c r="H531" s="6">
        <v>164</v>
      </c>
      <c r="I531" s="7"/>
      <c r="J531" s="6"/>
      <c r="K531" s="6"/>
      <c r="L531" s="6">
        <v>4</v>
      </c>
      <c r="M531" s="6">
        <v>20</v>
      </c>
      <c r="N531" s="6">
        <v>4</v>
      </c>
      <c r="O531" s="6"/>
      <c r="P531" s="7">
        <f t="shared" si="69"/>
        <v>5</v>
      </c>
      <c r="Q531" s="6"/>
      <c r="R531" s="6">
        <v>56</v>
      </c>
      <c r="S531" s="7"/>
      <c r="T531" s="6"/>
      <c r="Y531" s="11"/>
      <c r="AB531" s="11"/>
      <c r="AD531" s="6"/>
      <c r="AE531" s="8" t="s">
        <v>393</v>
      </c>
    </row>
    <row r="532" spans="1:31" x14ac:dyDescent="0.25">
      <c r="A532" s="6" t="s">
        <v>394</v>
      </c>
      <c r="B532" s="6">
        <v>1</v>
      </c>
      <c r="C532" s="6">
        <v>15</v>
      </c>
      <c r="D532" s="6">
        <v>2</v>
      </c>
      <c r="E532" s="6">
        <v>1</v>
      </c>
      <c r="F532" s="7">
        <f t="shared" si="65"/>
        <v>15</v>
      </c>
      <c r="G532" s="6"/>
      <c r="H532" s="6"/>
      <c r="I532" s="7"/>
      <c r="J532" s="6"/>
      <c r="K532" s="6"/>
      <c r="L532" s="6"/>
      <c r="M532" s="6"/>
      <c r="N532" s="6"/>
      <c r="O532" s="6"/>
      <c r="P532" s="7"/>
      <c r="Q532" s="6"/>
      <c r="R532" s="6"/>
      <c r="S532" s="7"/>
      <c r="T532" s="6"/>
      <c r="Y532" s="11"/>
      <c r="AA532" s="6"/>
      <c r="AB532" s="11"/>
    </row>
    <row r="533" spans="1:31" x14ac:dyDescent="0.25">
      <c r="A533" s="6" t="s">
        <v>395</v>
      </c>
      <c r="B533" s="6">
        <v>2</v>
      </c>
      <c r="C533" s="6">
        <v>20</v>
      </c>
      <c r="D533" s="6">
        <v>2</v>
      </c>
      <c r="E533" s="6"/>
      <c r="F533" s="7">
        <f t="shared" si="65"/>
        <v>10</v>
      </c>
      <c r="G533" s="6">
        <v>3</v>
      </c>
      <c r="H533" s="6">
        <v>80</v>
      </c>
      <c r="I533" s="7">
        <f t="shared" si="66"/>
        <v>26.666666666666668</v>
      </c>
      <c r="J533" s="6"/>
      <c r="K533" s="6"/>
      <c r="L533" s="6"/>
      <c r="M533" s="6"/>
      <c r="N533" s="6"/>
      <c r="O533" s="6"/>
      <c r="P533" s="7"/>
      <c r="Q533" s="6"/>
      <c r="R533" s="6"/>
      <c r="S533" s="7"/>
      <c r="T533" s="6"/>
      <c r="Y533" s="11"/>
      <c r="AA533" s="6"/>
      <c r="AB533" s="11"/>
    </row>
    <row r="534" spans="1:31" x14ac:dyDescent="0.25">
      <c r="A534" s="6" t="s">
        <v>396</v>
      </c>
      <c r="B534" s="6">
        <v>2</v>
      </c>
      <c r="C534" s="6"/>
      <c r="D534" s="6">
        <v>2</v>
      </c>
      <c r="E534" s="6"/>
      <c r="F534" s="7"/>
      <c r="G534" s="6"/>
      <c r="H534" s="6">
        <v>4</v>
      </c>
      <c r="I534" s="7"/>
      <c r="J534" s="6"/>
      <c r="K534" s="6"/>
      <c r="L534" s="6"/>
      <c r="M534" s="6"/>
      <c r="N534" s="6"/>
      <c r="O534" s="6"/>
      <c r="P534" s="7"/>
      <c r="Q534" s="6"/>
      <c r="R534" s="6"/>
      <c r="S534" s="7"/>
      <c r="T534" s="6"/>
      <c r="Y534" s="11"/>
      <c r="AA534" s="6"/>
      <c r="AB534" s="11"/>
    </row>
    <row r="535" spans="1:31" x14ac:dyDescent="0.25">
      <c r="A535" s="6" t="s">
        <v>731</v>
      </c>
      <c r="B535" s="6">
        <v>1</v>
      </c>
      <c r="C535" s="6">
        <v>10</v>
      </c>
      <c r="D535" s="6">
        <v>1</v>
      </c>
      <c r="E535" s="6"/>
      <c r="F535" s="7">
        <f t="shared" si="65"/>
        <v>10</v>
      </c>
      <c r="G535" s="6">
        <v>2</v>
      </c>
      <c r="H535" s="6">
        <v>31</v>
      </c>
      <c r="I535" s="7">
        <f t="shared" si="66"/>
        <v>15.5</v>
      </c>
      <c r="J535" s="6"/>
      <c r="K535" s="6"/>
      <c r="L535" s="6">
        <v>1</v>
      </c>
      <c r="M535" s="6">
        <v>10</v>
      </c>
      <c r="N535" s="6">
        <v>1</v>
      </c>
      <c r="O535" s="6"/>
      <c r="P535" s="7">
        <f t="shared" si="69"/>
        <v>10</v>
      </c>
      <c r="Q535" s="6">
        <v>2</v>
      </c>
      <c r="R535" s="6">
        <v>31</v>
      </c>
      <c r="S535" s="7">
        <f t="shared" si="70"/>
        <v>15.5</v>
      </c>
      <c r="T535" s="6"/>
      <c r="Y535" s="11"/>
      <c r="AB535" s="11"/>
      <c r="AD535" s="6"/>
      <c r="AE535" s="8" t="s">
        <v>23</v>
      </c>
    </row>
    <row r="536" spans="1:31" x14ac:dyDescent="0.25">
      <c r="A536" s="6" t="s">
        <v>397</v>
      </c>
      <c r="B536" s="6">
        <v>35</v>
      </c>
      <c r="C536" s="6">
        <v>556</v>
      </c>
      <c r="D536" s="6">
        <v>40</v>
      </c>
      <c r="E536" s="6">
        <v>1</v>
      </c>
      <c r="F536" s="7">
        <f t="shared" si="65"/>
        <v>14.256410256410257</v>
      </c>
      <c r="G536" s="6">
        <v>11</v>
      </c>
      <c r="H536" s="6">
        <v>175</v>
      </c>
      <c r="I536" s="7">
        <f t="shared" si="66"/>
        <v>15.909090909090908</v>
      </c>
      <c r="J536" s="6"/>
      <c r="K536" s="6"/>
      <c r="L536" s="6"/>
      <c r="M536" s="6"/>
      <c r="N536" s="6"/>
      <c r="O536" s="6"/>
      <c r="P536" s="7"/>
      <c r="Q536" s="6"/>
      <c r="R536" s="6"/>
      <c r="S536" s="7"/>
      <c r="T536" s="6"/>
      <c r="Y536" s="11"/>
      <c r="AA536" s="6"/>
      <c r="AB536" s="11"/>
    </row>
    <row r="537" spans="1:31" x14ac:dyDescent="0.25">
      <c r="A537" s="6" t="s">
        <v>398</v>
      </c>
      <c r="B537" s="6">
        <v>1</v>
      </c>
      <c r="C537" s="6">
        <v>4</v>
      </c>
      <c r="D537" s="6">
        <v>1</v>
      </c>
      <c r="E537" s="6"/>
      <c r="F537" s="7">
        <f t="shared" si="65"/>
        <v>4</v>
      </c>
      <c r="G537" s="6">
        <v>1</v>
      </c>
      <c r="H537" s="6">
        <v>42</v>
      </c>
      <c r="I537" s="7">
        <f t="shared" si="66"/>
        <v>42</v>
      </c>
      <c r="J537" s="6"/>
      <c r="K537" s="6"/>
      <c r="L537" s="6"/>
      <c r="M537" s="6"/>
      <c r="N537" s="6"/>
      <c r="O537" s="6"/>
      <c r="P537" s="7"/>
      <c r="Q537" s="6"/>
      <c r="R537" s="6"/>
      <c r="S537" s="7"/>
      <c r="T537" s="6"/>
      <c r="Y537" s="11"/>
      <c r="AA537" s="6"/>
      <c r="AB537" s="11"/>
    </row>
    <row r="538" spans="1:31" x14ac:dyDescent="0.25">
      <c r="A538" s="6" t="s">
        <v>399</v>
      </c>
      <c r="B538" s="11">
        <v>114.5</v>
      </c>
      <c r="C538" s="6">
        <v>1575</v>
      </c>
      <c r="D538" s="6">
        <v>113</v>
      </c>
      <c r="E538" s="6">
        <v>26</v>
      </c>
      <c r="F538" s="7">
        <f t="shared" si="65"/>
        <v>18.103448275862068</v>
      </c>
      <c r="G538" s="6">
        <v>300</v>
      </c>
      <c r="H538" s="6">
        <v>4748</v>
      </c>
      <c r="I538" s="7">
        <f t="shared" si="66"/>
        <v>15.826666666666666</v>
      </c>
      <c r="J538" s="6"/>
      <c r="K538" s="6"/>
      <c r="L538" s="6">
        <v>15</v>
      </c>
      <c r="M538" s="6">
        <v>121</v>
      </c>
      <c r="N538" s="6">
        <v>12</v>
      </c>
      <c r="O538" s="6">
        <v>4</v>
      </c>
      <c r="P538" s="7">
        <f t="shared" si="69"/>
        <v>15.125</v>
      </c>
      <c r="Q538" s="6">
        <v>11</v>
      </c>
      <c r="R538" s="6">
        <v>383</v>
      </c>
      <c r="S538" s="7">
        <f t="shared" si="70"/>
        <v>34.81818181818182</v>
      </c>
      <c r="T538" s="6"/>
      <c r="Y538" s="11"/>
      <c r="AB538" s="11"/>
      <c r="AD538" s="6"/>
      <c r="AE538" s="8" t="s">
        <v>400</v>
      </c>
    </row>
    <row r="539" spans="1:31" x14ac:dyDescent="0.25">
      <c r="A539" s="6" t="s">
        <v>791</v>
      </c>
      <c r="B539" s="6">
        <v>20</v>
      </c>
      <c r="C539" s="6">
        <v>418</v>
      </c>
      <c r="D539" s="6">
        <v>24</v>
      </c>
      <c r="E539" s="6">
        <v>7</v>
      </c>
      <c r="F539" s="7">
        <f t="shared" si="65"/>
        <v>24.588235294117649</v>
      </c>
      <c r="G539" s="6">
        <v>48</v>
      </c>
      <c r="H539" s="6">
        <v>675</v>
      </c>
      <c r="I539" s="7">
        <f t="shared" si="66"/>
        <v>14.0625</v>
      </c>
      <c r="J539" s="6"/>
      <c r="K539" s="6"/>
      <c r="L539" s="6">
        <v>20</v>
      </c>
      <c r="M539" s="6">
        <v>341</v>
      </c>
      <c r="N539" s="6">
        <v>18</v>
      </c>
      <c r="O539" s="6">
        <v>5</v>
      </c>
      <c r="P539" s="7">
        <f t="shared" si="69"/>
        <v>26.23076923076923</v>
      </c>
      <c r="Q539" s="6">
        <v>38</v>
      </c>
      <c r="R539" s="6">
        <v>559</v>
      </c>
      <c r="S539" s="7">
        <f t="shared" si="70"/>
        <v>14.710526315789474</v>
      </c>
      <c r="T539" s="6"/>
      <c r="Y539" s="11"/>
      <c r="AB539" s="11"/>
      <c r="AD539" s="6"/>
      <c r="AE539" s="8" t="s">
        <v>889</v>
      </c>
    </row>
    <row r="540" spans="1:31" x14ac:dyDescent="0.25">
      <c r="A540" s="6" t="s">
        <v>737</v>
      </c>
      <c r="B540" s="6">
        <v>44.5</v>
      </c>
      <c r="C540" s="6">
        <v>946</v>
      </c>
      <c r="D540" s="6">
        <v>52</v>
      </c>
      <c r="E540" s="6">
        <v>10</v>
      </c>
      <c r="F540" s="7">
        <f t="shared" si="65"/>
        <v>22.523809523809526</v>
      </c>
      <c r="G540" s="6">
        <v>17</v>
      </c>
      <c r="H540" s="6">
        <v>478</v>
      </c>
      <c r="I540" s="7">
        <f t="shared" si="66"/>
        <v>28.117647058823529</v>
      </c>
      <c r="J540" s="6"/>
      <c r="K540" s="6"/>
      <c r="L540" s="6">
        <v>37</v>
      </c>
      <c r="M540" s="6">
        <v>816</v>
      </c>
      <c r="N540" s="6">
        <v>33</v>
      </c>
      <c r="O540" s="6">
        <v>6</v>
      </c>
      <c r="P540" s="7">
        <f t="shared" si="69"/>
        <v>30.222222222222221</v>
      </c>
      <c r="Q540" s="6">
        <v>13</v>
      </c>
      <c r="R540" s="6">
        <v>322</v>
      </c>
      <c r="S540" s="7">
        <f t="shared" si="70"/>
        <v>24.76923076923077</v>
      </c>
      <c r="T540" s="6"/>
      <c r="Y540" s="11"/>
      <c r="AB540" s="11"/>
      <c r="AD540" s="6"/>
      <c r="AE540" s="8" t="s">
        <v>1153</v>
      </c>
    </row>
    <row r="541" spans="1:31" x14ac:dyDescent="0.25">
      <c r="A541" s="6" t="s">
        <v>757</v>
      </c>
      <c r="B541" s="6">
        <v>10</v>
      </c>
      <c r="C541" s="6">
        <v>17</v>
      </c>
      <c r="D541" s="6">
        <v>4</v>
      </c>
      <c r="E541" s="6">
        <v>2</v>
      </c>
      <c r="F541" s="7">
        <f>(C541/(D541-E541))</f>
        <v>8.5</v>
      </c>
      <c r="G541" s="6">
        <v>12</v>
      </c>
      <c r="H541" s="6">
        <v>188</v>
      </c>
      <c r="I541" s="7">
        <f>(H541/G541)</f>
        <v>15.666666666666666</v>
      </c>
      <c r="J541" s="6"/>
      <c r="K541" s="6"/>
      <c r="L541" s="6">
        <v>1</v>
      </c>
      <c r="M541" s="6">
        <v>5</v>
      </c>
      <c r="N541" s="6">
        <v>1</v>
      </c>
      <c r="O541" s="6"/>
      <c r="P541" s="7">
        <f>(M541/(N541-O541))</f>
        <v>5</v>
      </c>
      <c r="Q541" s="6"/>
      <c r="R541" s="6"/>
      <c r="S541" s="7"/>
      <c r="T541" s="6"/>
      <c r="Y541" s="11"/>
      <c r="AB541" s="11"/>
      <c r="AD541" s="6"/>
      <c r="AE541" s="8" t="s">
        <v>792</v>
      </c>
    </row>
    <row r="542" spans="1:31" x14ac:dyDescent="0.25">
      <c r="A542" s="6" t="s">
        <v>1039</v>
      </c>
      <c r="B542" s="6">
        <v>83</v>
      </c>
      <c r="C542" s="6">
        <v>878</v>
      </c>
      <c r="D542" s="6">
        <v>59</v>
      </c>
      <c r="E542" s="6">
        <v>10</v>
      </c>
      <c r="F542" s="7">
        <f t="shared" si="65"/>
        <v>17.918367346938776</v>
      </c>
      <c r="G542" s="6">
        <v>46</v>
      </c>
      <c r="H542" s="6">
        <v>1034</v>
      </c>
      <c r="I542" s="7">
        <f t="shared" si="66"/>
        <v>22.478260869565219</v>
      </c>
      <c r="J542" s="6"/>
      <c r="K542" s="6"/>
      <c r="L542" s="6"/>
      <c r="M542" s="6"/>
      <c r="N542" s="6"/>
      <c r="O542" s="6"/>
      <c r="P542" s="7"/>
      <c r="Q542" s="6"/>
      <c r="R542" s="6"/>
      <c r="S542" s="7"/>
      <c r="T542" s="6"/>
      <c r="U542" s="13">
        <v>4</v>
      </c>
      <c r="V542" s="13">
        <v>37</v>
      </c>
      <c r="W542" s="13">
        <v>4</v>
      </c>
      <c r="X542" s="13"/>
      <c r="Y542" s="11">
        <f t="shared" si="71"/>
        <v>9.25</v>
      </c>
      <c r="Z542" s="13">
        <v>1</v>
      </c>
      <c r="AA542" s="13">
        <v>72</v>
      </c>
      <c r="AB542" s="11"/>
      <c r="AC542" s="13"/>
      <c r="AD542" s="6"/>
      <c r="AE542" s="8" t="s">
        <v>1155</v>
      </c>
    </row>
    <row r="543" spans="1:31" x14ac:dyDescent="0.25">
      <c r="A543" s="6" t="s">
        <v>1038</v>
      </c>
      <c r="B543" s="6">
        <v>30.5</v>
      </c>
      <c r="C543" s="6">
        <v>143</v>
      </c>
      <c r="D543" s="6">
        <v>19</v>
      </c>
      <c r="E543" s="6">
        <v>2</v>
      </c>
      <c r="F543" s="7">
        <f t="shared" si="65"/>
        <v>8.4117647058823533</v>
      </c>
      <c r="G543" s="6">
        <v>9</v>
      </c>
      <c r="H543" s="6">
        <v>526</v>
      </c>
      <c r="I543" s="7">
        <f t="shared" si="66"/>
        <v>58.444444444444443</v>
      </c>
      <c r="J543" s="6"/>
      <c r="K543" s="6"/>
      <c r="L543" s="6"/>
      <c r="M543" s="6"/>
      <c r="N543" s="6"/>
      <c r="O543" s="6"/>
      <c r="P543" s="7"/>
      <c r="Q543" s="6"/>
      <c r="R543" s="6"/>
      <c r="S543" s="7"/>
      <c r="T543" s="6"/>
      <c r="U543" s="13">
        <v>3</v>
      </c>
      <c r="V543" s="13">
        <v>5</v>
      </c>
      <c r="W543" s="13">
        <v>2</v>
      </c>
      <c r="X543" s="13">
        <v>1</v>
      </c>
      <c r="Y543" s="11">
        <f t="shared" si="71"/>
        <v>5</v>
      </c>
      <c r="Z543" s="13"/>
      <c r="AA543" s="13"/>
      <c r="AB543" s="11"/>
      <c r="AC543" s="13"/>
      <c r="AD543" s="6"/>
      <c r="AE543" s="8" t="s">
        <v>1154</v>
      </c>
    </row>
    <row r="544" spans="1:31" x14ac:dyDescent="0.25">
      <c r="A544" s="6" t="s">
        <v>1041</v>
      </c>
      <c r="B544" s="6">
        <v>8</v>
      </c>
      <c r="C544" s="6">
        <v>10</v>
      </c>
      <c r="D544" s="6">
        <v>3</v>
      </c>
      <c r="E544" s="6"/>
      <c r="F544" s="7">
        <f t="shared" si="65"/>
        <v>3.3333333333333335</v>
      </c>
      <c r="G544" s="6">
        <v>2</v>
      </c>
      <c r="H544" s="6">
        <v>86</v>
      </c>
      <c r="I544" s="7">
        <f t="shared" si="66"/>
        <v>43</v>
      </c>
      <c r="J544" s="6"/>
      <c r="K544" s="6"/>
      <c r="L544" s="6"/>
      <c r="M544" s="6"/>
      <c r="N544" s="6"/>
      <c r="O544" s="6"/>
      <c r="P544" s="7"/>
      <c r="Q544" s="6"/>
      <c r="R544" s="6"/>
      <c r="S544" s="7"/>
      <c r="T544" s="6"/>
      <c r="U544" s="13"/>
      <c r="V544" s="13"/>
      <c r="W544" s="13"/>
      <c r="X544" s="13"/>
      <c r="Y544" s="11"/>
      <c r="Z544" s="13"/>
      <c r="AA544" s="13"/>
      <c r="AB544" s="11"/>
      <c r="AC544" s="13"/>
      <c r="AD544" s="6"/>
      <c r="AE544" s="8" t="s">
        <v>990</v>
      </c>
    </row>
    <row r="545" spans="1:32" x14ac:dyDescent="0.25">
      <c r="A545" s="6" t="s">
        <v>401</v>
      </c>
      <c r="B545" s="6">
        <v>72</v>
      </c>
      <c r="C545" s="6">
        <v>915</v>
      </c>
      <c r="D545" s="6">
        <v>64</v>
      </c>
      <c r="E545" s="6">
        <v>18</v>
      </c>
      <c r="F545" s="7">
        <f t="shared" si="65"/>
        <v>19.891304347826086</v>
      </c>
      <c r="G545" s="6">
        <v>87</v>
      </c>
      <c r="H545" s="6">
        <v>1469</v>
      </c>
      <c r="I545" s="7">
        <f t="shared" si="66"/>
        <v>16.885057471264368</v>
      </c>
      <c r="J545" s="6"/>
      <c r="K545" s="6"/>
      <c r="L545" s="6">
        <v>2</v>
      </c>
      <c r="M545" s="6">
        <v>20</v>
      </c>
      <c r="N545" s="6">
        <v>2</v>
      </c>
      <c r="O545" s="6">
        <v>1</v>
      </c>
      <c r="P545" s="7">
        <f t="shared" si="69"/>
        <v>20</v>
      </c>
      <c r="Q545" s="6"/>
      <c r="R545" s="6">
        <v>63</v>
      </c>
      <c r="S545" s="7"/>
      <c r="T545" s="6"/>
      <c r="Y545" s="11"/>
      <c r="AB545" s="11"/>
      <c r="AD545" s="6"/>
      <c r="AE545" s="8" t="s">
        <v>698</v>
      </c>
    </row>
    <row r="546" spans="1:32" x14ac:dyDescent="0.25">
      <c r="A546" s="6" t="s">
        <v>402</v>
      </c>
      <c r="B546" s="6">
        <v>9</v>
      </c>
      <c r="C546" s="6">
        <v>44</v>
      </c>
      <c r="D546" s="6">
        <v>9</v>
      </c>
      <c r="E546" s="6">
        <v>2</v>
      </c>
      <c r="F546" s="7">
        <f t="shared" si="65"/>
        <v>6.2857142857142856</v>
      </c>
      <c r="G546" s="6"/>
      <c r="H546" s="6">
        <v>54</v>
      </c>
      <c r="I546" s="7"/>
      <c r="J546" s="6"/>
      <c r="K546" s="6"/>
      <c r="L546" s="6"/>
      <c r="M546" s="6"/>
      <c r="N546" s="6"/>
      <c r="O546" s="6"/>
      <c r="P546" s="7"/>
      <c r="Q546" s="6"/>
      <c r="R546" s="6"/>
      <c r="S546" s="7"/>
      <c r="T546" s="6"/>
      <c r="Y546" s="11"/>
      <c r="AA546" s="6"/>
      <c r="AB546" s="11"/>
    </row>
    <row r="547" spans="1:32" x14ac:dyDescent="0.25">
      <c r="A547" s="6" t="s">
        <v>823</v>
      </c>
      <c r="B547" s="6">
        <v>1</v>
      </c>
      <c r="C547" s="6">
        <v>4</v>
      </c>
      <c r="D547" s="6">
        <v>1</v>
      </c>
      <c r="E547" s="6">
        <v>1</v>
      </c>
      <c r="F547" s="10" t="s">
        <v>804</v>
      </c>
      <c r="G547" s="6"/>
      <c r="H547" s="6"/>
      <c r="I547" s="7"/>
      <c r="J547" s="6"/>
      <c r="K547" s="6"/>
      <c r="L547" s="6"/>
      <c r="M547" s="6"/>
      <c r="N547" s="6"/>
      <c r="O547" s="6"/>
      <c r="P547" s="7"/>
      <c r="Q547" s="6"/>
      <c r="R547" s="6"/>
      <c r="S547" s="7"/>
      <c r="T547" s="6"/>
      <c r="Y547" s="11"/>
      <c r="AA547" s="6"/>
      <c r="AB547" s="11"/>
    </row>
    <row r="548" spans="1:32" x14ac:dyDescent="0.25">
      <c r="A548" s="6" t="s">
        <v>403</v>
      </c>
      <c r="B548" s="6">
        <v>1</v>
      </c>
      <c r="C548" s="6"/>
      <c r="D548" s="6">
        <v>2</v>
      </c>
      <c r="E548" s="6"/>
      <c r="F548" s="7"/>
      <c r="G548" s="6"/>
      <c r="H548" s="6"/>
      <c r="I548" s="7"/>
      <c r="J548" s="6"/>
      <c r="K548" s="6"/>
      <c r="L548" s="6"/>
      <c r="M548" s="6"/>
      <c r="N548" s="6"/>
      <c r="O548" s="6"/>
      <c r="P548" s="7"/>
      <c r="Q548" s="6"/>
      <c r="R548" s="6"/>
      <c r="S548" s="7"/>
      <c r="T548" s="6"/>
      <c r="Y548" s="11"/>
      <c r="AA548" s="6"/>
      <c r="AB548" s="11"/>
    </row>
    <row r="549" spans="1:32" x14ac:dyDescent="0.25">
      <c r="A549" s="6" t="s">
        <v>1042</v>
      </c>
      <c r="B549" s="6">
        <v>24</v>
      </c>
      <c r="C549" s="6">
        <v>560</v>
      </c>
      <c r="D549" s="6">
        <v>20</v>
      </c>
      <c r="E549" s="6">
        <v>5</v>
      </c>
      <c r="F549" s="7">
        <f t="shared" si="65"/>
        <v>37.333333333333336</v>
      </c>
      <c r="G549" s="6">
        <v>13</v>
      </c>
      <c r="H549" s="6">
        <v>224</v>
      </c>
      <c r="I549" s="7">
        <f t="shared" si="66"/>
        <v>17.23076923076923</v>
      </c>
      <c r="J549" s="6"/>
      <c r="K549" s="6"/>
      <c r="L549" s="6"/>
      <c r="M549" s="6"/>
      <c r="N549" s="6"/>
      <c r="O549" s="6"/>
      <c r="P549" s="7"/>
      <c r="Q549" s="6"/>
      <c r="R549" s="6"/>
      <c r="S549" s="7"/>
      <c r="T549" s="6"/>
      <c r="U549" s="13">
        <v>4</v>
      </c>
      <c r="V549" s="13">
        <v>28</v>
      </c>
      <c r="W549" s="13">
        <v>2</v>
      </c>
      <c r="X549" s="13">
        <v>1</v>
      </c>
      <c r="Y549" s="11">
        <f t="shared" si="71"/>
        <v>28</v>
      </c>
      <c r="Z549" s="13">
        <v>6</v>
      </c>
      <c r="AA549" s="6">
        <v>87</v>
      </c>
      <c r="AB549" s="11">
        <f t="shared" si="67"/>
        <v>14.5</v>
      </c>
      <c r="AE549" s="1" t="s">
        <v>1064</v>
      </c>
    </row>
    <row r="550" spans="1:32" x14ac:dyDescent="0.25">
      <c r="A550" s="6" t="s">
        <v>1043</v>
      </c>
      <c r="B550" s="6">
        <v>22.5</v>
      </c>
      <c r="C550" s="6">
        <v>294</v>
      </c>
      <c r="D550" s="6">
        <v>19</v>
      </c>
      <c r="E550" s="6">
        <v>4</v>
      </c>
      <c r="F550" s="7">
        <f t="shared" si="65"/>
        <v>19.600000000000001</v>
      </c>
      <c r="G550" s="6">
        <v>6</v>
      </c>
      <c r="H550" s="6">
        <v>159</v>
      </c>
      <c r="I550" s="7">
        <f t="shared" si="66"/>
        <v>26.5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>
        <v>1</v>
      </c>
      <c r="V550" s="6"/>
      <c r="W550" s="6"/>
      <c r="X550" s="6"/>
      <c r="Y550" s="11"/>
      <c r="Z550" s="6"/>
      <c r="AA550" s="6">
        <v>3</v>
      </c>
      <c r="AB550" s="6"/>
      <c r="AC550" s="6"/>
      <c r="AD550" s="6"/>
      <c r="AE550" s="6" t="s">
        <v>1115</v>
      </c>
      <c r="AF550" s="6"/>
    </row>
    <row r="551" spans="1:32" x14ac:dyDescent="0.25">
      <c r="A551" s="6" t="s">
        <v>624</v>
      </c>
      <c r="B551" s="6">
        <v>1</v>
      </c>
      <c r="C551" s="6">
        <v>5</v>
      </c>
      <c r="D551" s="6">
        <v>1</v>
      </c>
      <c r="E551" s="6"/>
      <c r="F551" s="7">
        <f t="shared" si="65"/>
        <v>5</v>
      </c>
      <c r="G551" s="6">
        <v>1</v>
      </c>
      <c r="H551" s="6">
        <v>11</v>
      </c>
      <c r="I551" s="7">
        <f t="shared" si="66"/>
        <v>11</v>
      </c>
      <c r="J551" s="6"/>
      <c r="K551" s="6"/>
      <c r="L551" s="6"/>
      <c r="M551" s="6"/>
      <c r="N551" s="6"/>
      <c r="O551" s="6"/>
      <c r="P551" s="7"/>
      <c r="Q551" s="6"/>
      <c r="R551" s="6"/>
      <c r="S551" s="7"/>
      <c r="T551" s="6"/>
      <c r="Y551" s="11"/>
      <c r="AA551" s="6"/>
      <c r="AB551" s="11"/>
    </row>
    <row r="552" spans="1:32" x14ac:dyDescent="0.25">
      <c r="A552" s="6" t="s">
        <v>404</v>
      </c>
      <c r="B552" s="6">
        <v>151</v>
      </c>
      <c r="C552" s="6">
        <v>3143</v>
      </c>
      <c r="D552" s="6">
        <v>154</v>
      </c>
      <c r="E552" s="6">
        <v>29</v>
      </c>
      <c r="F552" s="7">
        <f t="shared" si="65"/>
        <v>25.143999999999998</v>
      </c>
      <c r="G552" s="6">
        <v>71</v>
      </c>
      <c r="H552" s="6">
        <v>1543</v>
      </c>
      <c r="I552" s="7">
        <f t="shared" si="66"/>
        <v>21.732394366197184</v>
      </c>
      <c r="J552" s="6"/>
      <c r="K552" s="6"/>
      <c r="L552" s="6">
        <v>1</v>
      </c>
      <c r="M552" s="6">
        <v>51</v>
      </c>
      <c r="N552" s="6">
        <v>1</v>
      </c>
      <c r="O552" s="6">
        <v>1</v>
      </c>
      <c r="P552" s="7"/>
      <c r="Q552" s="6">
        <v>5</v>
      </c>
      <c r="R552" s="6">
        <v>24</v>
      </c>
      <c r="S552" s="7">
        <f t="shared" si="70"/>
        <v>4.8</v>
      </c>
      <c r="T552" s="6"/>
      <c r="Y552" s="11"/>
      <c r="AB552" s="11"/>
      <c r="AD552" s="6"/>
      <c r="AE552" s="8" t="s">
        <v>758</v>
      </c>
    </row>
    <row r="553" spans="1:32" x14ac:dyDescent="0.25">
      <c r="A553" s="6" t="s">
        <v>995</v>
      </c>
      <c r="B553" s="6">
        <v>40</v>
      </c>
      <c r="C553" s="6">
        <v>612</v>
      </c>
      <c r="D553" s="6">
        <v>42</v>
      </c>
      <c r="E553" s="6">
        <v>11</v>
      </c>
      <c r="F553" s="7">
        <f t="shared" si="65"/>
        <v>19.741935483870968</v>
      </c>
      <c r="G553" s="6">
        <v>18</v>
      </c>
      <c r="H553" s="6">
        <v>375</v>
      </c>
      <c r="I553" s="7">
        <f t="shared" si="66"/>
        <v>20.833333333333332</v>
      </c>
      <c r="J553" s="6"/>
      <c r="K553" s="6"/>
      <c r="L553" s="6"/>
      <c r="M553" s="6"/>
      <c r="N553" s="6"/>
      <c r="O553" s="6"/>
      <c r="P553" s="7"/>
      <c r="Q553" s="6"/>
      <c r="R553" s="6"/>
      <c r="S553" s="7"/>
      <c r="T553" s="6"/>
      <c r="U553" s="13">
        <v>13</v>
      </c>
      <c r="V553" s="13">
        <v>221</v>
      </c>
      <c r="W553" s="13">
        <v>12</v>
      </c>
      <c r="X553" s="13">
        <v>5</v>
      </c>
      <c r="Y553" s="11">
        <f t="shared" si="71"/>
        <v>31.571428571428573</v>
      </c>
      <c r="Z553" s="13">
        <v>9</v>
      </c>
      <c r="AA553" s="13">
        <v>85</v>
      </c>
      <c r="AB553" s="11">
        <f t="shared" si="67"/>
        <v>9.4444444444444446</v>
      </c>
      <c r="AD553" s="6"/>
      <c r="AE553" s="8" t="s">
        <v>1112</v>
      </c>
    </row>
    <row r="554" spans="1:32" x14ac:dyDescent="0.25">
      <c r="A554" s="6" t="s">
        <v>710</v>
      </c>
      <c r="B554" s="6">
        <v>2</v>
      </c>
      <c r="C554" s="6">
        <v>5</v>
      </c>
      <c r="D554" s="6">
        <v>1</v>
      </c>
      <c r="E554" s="6"/>
      <c r="F554" s="7">
        <f t="shared" si="65"/>
        <v>5</v>
      </c>
      <c r="G554" s="6">
        <v>4</v>
      </c>
      <c r="H554" s="6">
        <v>24</v>
      </c>
      <c r="I554" s="7">
        <f t="shared" si="66"/>
        <v>6</v>
      </c>
      <c r="J554" s="6"/>
      <c r="K554" s="6"/>
      <c r="L554" s="6">
        <v>2</v>
      </c>
      <c r="M554" s="6">
        <v>5</v>
      </c>
      <c r="N554" s="6">
        <v>1</v>
      </c>
      <c r="O554" s="6"/>
      <c r="P554" s="7">
        <f t="shared" si="69"/>
        <v>5</v>
      </c>
      <c r="Q554" s="6">
        <v>4</v>
      </c>
      <c r="R554" s="6">
        <v>24</v>
      </c>
      <c r="S554" s="7">
        <f t="shared" si="70"/>
        <v>6</v>
      </c>
      <c r="T554" s="6"/>
      <c r="Y554" s="11"/>
      <c r="AB554" s="11"/>
      <c r="AD554" s="6"/>
      <c r="AE554" s="8" t="s">
        <v>41</v>
      </c>
    </row>
    <row r="555" spans="1:32" x14ac:dyDescent="0.25">
      <c r="A555" s="6" t="s">
        <v>405</v>
      </c>
      <c r="B555" s="6">
        <v>29</v>
      </c>
      <c r="C555" s="6">
        <v>294</v>
      </c>
      <c r="D555" s="6">
        <v>38</v>
      </c>
      <c r="E555" s="6">
        <v>12</v>
      </c>
      <c r="F555" s="7">
        <f t="shared" si="65"/>
        <v>11.307692307692308</v>
      </c>
      <c r="G555" s="6">
        <v>35</v>
      </c>
      <c r="H555" s="6">
        <v>1111</v>
      </c>
      <c r="I555" s="7">
        <f t="shared" si="66"/>
        <v>31.742857142857144</v>
      </c>
      <c r="J555" s="6"/>
      <c r="K555" s="6"/>
      <c r="L555" s="6">
        <v>1</v>
      </c>
      <c r="M555" s="6"/>
      <c r="N555" s="6"/>
      <c r="O555" s="6"/>
      <c r="P555" s="7"/>
      <c r="Q555" s="6"/>
      <c r="R555" s="6">
        <v>16</v>
      </c>
      <c r="S555" s="7"/>
      <c r="T555" s="6"/>
      <c r="Y555" s="11"/>
      <c r="AB555" s="11"/>
      <c r="AD555" s="6"/>
      <c r="AE555" s="8" t="s">
        <v>406</v>
      </c>
    </row>
    <row r="556" spans="1:32" x14ac:dyDescent="0.25">
      <c r="A556" s="6" t="s">
        <v>1111</v>
      </c>
      <c r="B556" s="6"/>
      <c r="C556" s="6"/>
      <c r="D556" s="6"/>
      <c r="E556" s="6"/>
      <c r="F556" s="7"/>
      <c r="G556" s="6"/>
      <c r="H556" s="6"/>
      <c r="I556" s="7"/>
      <c r="J556" s="6"/>
      <c r="K556" s="6"/>
      <c r="L556" s="6"/>
      <c r="M556" s="6"/>
      <c r="N556" s="6"/>
      <c r="O556" s="6"/>
      <c r="P556" s="7"/>
      <c r="Q556" s="6"/>
      <c r="R556" s="6"/>
      <c r="S556" s="7"/>
      <c r="T556" s="6"/>
      <c r="U556" s="8">
        <v>1</v>
      </c>
      <c r="V556" s="8">
        <v>15</v>
      </c>
      <c r="W556" s="8">
        <v>1</v>
      </c>
      <c r="X556" s="8"/>
      <c r="Y556" s="8"/>
      <c r="Z556" s="8">
        <v>1</v>
      </c>
      <c r="AA556" s="8">
        <v>36</v>
      </c>
      <c r="AB556" s="11">
        <f t="shared" si="67"/>
        <v>36</v>
      </c>
      <c r="AD556" s="6"/>
      <c r="AE556" s="8"/>
    </row>
    <row r="557" spans="1:32" x14ac:dyDescent="0.25">
      <c r="A557" s="6" t="s">
        <v>946</v>
      </c>
      <c r="B557" s="6">
        <v>0.5</v>
      </c>
      <c r="C557" s="6"/>
      <c r="D557" s="6"/>
      <c r="E557" s="6"/>
      <c r="F557" s="7"/>
      <c r="G557" s="6">
        <v>2</v>
      </c>
      <c r="H557" s="6">
        <v>31</v>
      </c>
      <c r="I557" s="7">
        <f t="shared" si="66"/>
        <v>15.5</v>
      </c>
      <c r="J557" s="6"/>
      <c r="K557" s="6"/>
      <c r="L557" s="6"/>
      <c r="M557" s="6"/>
      <c r="N557" s="6"/>
      <c r="O557" s="6"/>
      <c r="P557" s="7"/>
      <c r="Q557" s="6"/>
      <c r="R557" s="6"/>
      <c r="S557" s="7"/>
      <c r="T557" s="6"/>
      <c r="Y557" s="11"/>
      <c r="AB557" s="11"/>
      <c r="AD557" s="6"/>
      <c r="AE557" s="8" t="s">
        <v>939</v>
      </c>
    </row>
    <row r="558" spans="1:32" x14ac:dyDescent="0.25">
      <c r="A558" s="6" t="s">
        <v>407</v>
      </c>
      <c r="B558" s="6">
        <v>20</v>
      </c>
      <c r="C558" s="6">
        <v>34</v>
      </c>
      <c r="D558" s="6">
        <v>17</v>
      </c>
      <c r="E558" s="6">
        <v>1</v>
      </c>
      <c r="F558" s="7">
        <f t="shared" si="65"/>
        <v>2.125</v>
      </c>
      <c r="G558" s="6"/>
      <c r="H558" s="6">
        <v>6</v>
      </c>
      <c r="I558" s="7"/>
      <c r="J558" s="6"/>
      <c r="K558" s="6"/>
      <c r="L558" s="6"/>
      <c r="M558" s="6"/>
      <c r="N558" s="6"/>
      <c r="O558" s="6"/>
      <c r="P558" s="7"/>
      <c r="Q558" s="6"/>
      <c r="R558" s="6"/>
      <c r="S558" s="7"/>
      <c r="T558" s="6"/>
      <c r="Y558" s="11"/>
      <c r="AA558" s="6"/>
      <c r="AB558" s="11"/>
    </row>
    <row r="559" spans="1:32" x14ac:dyDescent="0.25">
      <c r="A559" s="6" t="s">
        <v>732</v>
      </c>
      <c r="B559" s="6">
        <v>36</v>
      </c>
      <c r="C559" s="6">
        <v>1132</v>
      </c>
      <c r="D559" s="6">
        <v>51</v>
      </c>
      <c r="E559" s="6">
        <v>7</v>
      </c>
      <c r="F559" s="7">
        <f t="shared" si="65"/>
        <v>25.727272727272727</v>
      </c>
      <c r="G559" s="6">
        <v>15</v>
      </c>
      <c r="H559" s="6">
        <v>242</v>
      </c>
      <c r="I559" s="7">
        <f t="shared" si="66"/>
        <v>16.133333333333333</v>
      </c>
      <c r="J559" s="6"/>
      <c r="K559" s="6"/>
      <c r="L559" s="6">
        <v>48</v>
      </c>
      <c r="M559" s="6">
        <v>1062</v>
      </c>
      <c r="N559" s="6">
        <v>42</v>
      </c>
      <c r="O559" s="6">
        <v>4</v>
      </c>
      <c r="P559" s="7">
        <f t="shared" si="69"/>
        <v>27.94736842105263</v>
      </c>
      <c r="Q559" s="6">
        <v>12</v>
      </c>
      <c r="R559" s="6">
        <v>182</v>
      </c>
      <c r="S559" s="7">
        <f t="shared" si="70"/>
        <v>15.166666666666666</v>
      </c>
      <c r="T559" s="6"/>
      <c r="Y559" s="11"/>
      <c r="AB559" s="11"/>
      <c r="AD559" s="6"/>
      <c r="AE559" s="8" t="s">
        <v>824</v>
      </c>
    </row>
    <row r="560" spans="1:32" x14ac:dyDescent="0.25">
      <c r="A560" s="6" t="s">
        <v>408</v>
      </c>
      <c r="B560" s="6">
        <v>5</v>
      </c>
      <c r="C560" s="6">
        <v>58</v>
      </c>
      <c r="D560" s="6">
        <v>6</v>
      </c>
      <c r="E560" s="6"/>
      <c r="F560" s="7">
        <f t="shared" si="65"/>
        <v>9.6666666666666661</v>
      </c>
      <c r="G560" s="6"/>
      <c r="H560" s="6">
        <v>19</v>
      </c>
      <c r="I560" s="7"/>
      <c r="J560" s="6"/>
      <c r="K560" s="6"/>
      <c r="L560" s="6"/>
      <c r="M560" s="6"/>
      <c r="N560" s="6"/>
      <c r="O560" s="6"/>
      <c r="P560" s="7"/>
      <c r="Q560" s="6"/>
      <c r="R560" s="6"/>
      <c r="S560" s="7"/>
      <c r="T560" s="6"/>
      <c r="Y560" s="11"/>
      <c r="AA560" s="6"/>
      <c r="AB560" s="11"/>
    </row>
    <row r="561" spans="1:31" x14ac:dyDescent="0.25">
      <c r="A561" s="6" t="s">
        <v>409</v>
      </c>
      <c r="B561" s="6">
        <v>29</v>
      </c>
      <c r="C561" s="6">
        <v>333</v>
      </c>
      <c r="D561" s="6">
        <v>27</v>
      </c>
      <c r="E561" s="6">
        <v>2</v>
      </c>
      <c r="F561" s="7">
        <f t="shared" si="65"/>
        <v>13.32</v>
      </c>
      <c r="G561" s="6">
        <v>1</v>
      </c>
      <c r="H561" s="6">
        <v>78</v>
      </c>
      <c r="I561" s="7">
        <f t="shared" si="66"/>
        <v>78</v>
      </c>
      <c r="J561" s="6"/>
      <c r="K561" s="6"/>
      <c r="L561" s="6"/>
      <c r="M561" s="6"/>
      <c r="N561" s="6"/>
      <c r="O561" s="6"/>
      <c r="P561" s="7"/>
      <c r="Q561" s="6"/>
      <c r="R561" s="6"/>
      <c r="S561" s="7"/>
      <c r="T561" s="6"/>
      <c r="Y561" s="11"/>
      <c r="AA561" s="6"/>
      <c r="AB561" s="11"/>
    </row>
    <row r="562" spans="1:31" x14ac:dyDescent="0.25">
      <c r="A562" s="6" t="s">
        <v>1044</v>
      </c>
      <c r="B562" s="6">
        <v>13</v>
      </c>
      <c r="C562" s="6">
        <v>104</v>
      </c>
      <c r="D562" s="6">
        <v>11</v>
      </c>
      <c r="E562" s="6">
        <v>1</v>
      </c>
      <c r="F562" s="7">
        <f t="shared" si="65"/>
        <v>10.4</v>
      </c>
      <c r="G562" s="6">
        <v>27</v>
      </c>
      <c r="H562" s="6">
        <v>453</v>
      </c>
      <c r="I562" s="7">
        <f t="shared" si="66"/>
        <v>16.777777777777779</v>
      </c>
      <c r="J562" s="6"/>
      <c r="K562" s="6"/>
      <c r="L562" s="6"/>
      <c r="M562" s="6"/>
      <c r="N562" s="6"/>
      <c r="O562" s="6"/>
      <c r="P562" s="7"/>
      <c r="Q562" s="6"/>
      <c r="R562" s="6"/>
      <c r="S562" s="7"/>
      <c r="T562" s="6"/>
      <c r="U562" s="1">
        <v>6</v>
      </c>
      <c r="V562" s="1">
        <v>31</v>
      </c>
      <c r="W562" s="1">
        <v>2</v>
      </c>
      <c r="Y562" s="11">
        <f t="shared" si="71"/>
        <v>15.5</v>
      </c>
      <c r="Z562">
        <v>8</v>
      </c>
      <c r="AA562" s="6">
        <v>109</v>
      </c>
      <c r="AB562" s="11">
        <f t="shared" si="67"/>
        <v>13.625</v>
      </c>
      <c r="AE562" s="1" t="s">
        <v>1045</v>
      </c>
    </row>
    <row r="563" spans="1:31" x14ac:dyDescent="0.25">
      <c r="A563" s="6" t="s">
        <v>913</v>
      </c>
      <c r="B563" s="6">
        <v>24</v>
      </c>
      <c r="C563" s="6">
        <v>119</v>
      </c>
      <c r="D563" s="6">
        <v>18</v>
      </c>
      <c r="E563" s="6">
        <v>7</v>
      </c>
      <c r="F563" s="6">
        <f t="shared" si="65"/>
        <v>10.818181818181818</v>
      </c>
      <c r="G563" s="6">
        <v>33</v>
      </c>
      <c r="H563" s="6">
        <v>678</v>
      </c>
      <c r="I563" s="7">
        <f t="shared" si="66"/>
        <v>20.545454545454547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>
        <v>4</v>
      </c>
      <c r="V563" s="6">
        <v>8</v>
      </c>
      <c r="W563" s="6">
        <v>2</v>
      </c>
      <c r="X563" s="6">
        <v>1</v>
      </c>
      <c r="Y563" s="11">
        <f t="shared" si="71"/>
        <v>8</v>
      </c>
      <c r="Z563" s="6">
        <v>1</v>
      </c>
      <c r="AA563" s="6">
        <v>56</v>
      </c>
      <c r="AB563" s="11">
        <f t="shared" si="67"/>
        <v>56</v>
      </c>
      <c r="AC563" s="6"/>
      <c r="AD563" s="6"/>
      <c r="AE563" s="6" t="s">
        <v>947</v>
      </c>
    </row>
    <row r="564" spans="1:31" x14ac:dyDescent="0.25">
      <c r="A564" s="6" t="s">
        <v>410</v>
      </c>
      <c r="B564" s="6">
        <v>1</v>
      </c>
      <c r="C564" s="6">
        <v>12</v>
      </c>
      <c r="D564" s="6">
        <v>1</v>
      </c>
      <c r="E564" s="6"/>
      <c r="F564" s="7">
        <f t="shared" si="65"/>
        <v>12</v>
      </c>
      <c r="G564" s="6"/>
      <c r="H564" s="6"/>
      <c r="I564" s="7"/>
      <c r="J564" s="6"/>
      <c r="K564" s="6"/>
      <c r="L564" s="6"/>
      <c r="M564" s="6"/>
      <c r="N564" s="6"/>
      <c r="O564" s="6"/>
      <c r="P564" s="7"/>
      <c r="Q564" s="6"/>
      <c r="R564" s="6"/>
      <c r="S564" s="7"/>
      <c r="T564" s="6"/>
      <c r="Y564" s="11"/>
      <c r="AA564" s="6"/>
      <c r="AB564" s="11"/>
    </row>
    <row r="565" spans="1:31" x14ac:dyDescent="0.25">
      <c r="A565" s="6" t="s">
        <v>411</v>
      </c>
      <c r="B565" s="6">
        <v>38</v>
      </c>
      <c r="C565" s="6">
        <v>407</v>
      </c>
      <c r="D565" s="6">
        <v>48</v>
      </c>
      <c r="E565" s="6">
        <v>6</v>
      </c>
      <c r="F565" s="7">
        <f t="shared" si="65"/>
        <v>9.6904761904761898</v>
      </c>
      <c r="G565" s="6">
        <v>42</v>
      </c>
      <c r="H565" s="6">
        <v>1148</v>
      </c>
      <c r="I565" s="7">
        <f t="shared" si="66"/>
        <v>27.333333333333332</v>
      </c>
      <c r="J565" s="6"/>
      <c r="K565" s="6"/>
      <c r="L565" s="6"/>
      <c r="M565" s="6"/>
      <c r="N565" s="6"/>
      <c r="O565" s="6"/>
      <c r="P565" s="7"/>
      <c r="Q565" s="6"/>
      <c r="R565" s="6"/>
      <c r="S565" s="7"/>
      <c r="T565" s="6"/>
      <c r="Y565" s="11"/>
      <c r="AA565" s="6"/>
      <c r="AB565" s="11"/>
    </row>
    <row r="566" spans="1:31" x14ac:dyDescent="0.25">
      <c r="A566" s="6" t="s">
        <v>412</v>
      </c>
      <c r="B566" s="6">
        <v>5</v>
      </c>
      <c r="C566" s="6">
        <v>1</v>
      </c>
      <c r="D566" s="6">
        <v>1</v>
      </c>
      <c r="E566" s="6">
        <v>1</v>
      </c>
      <c r="F566" s="7"/>
      <c r="G566" s="6">
        <v>7</v>
      </c>
      <c r="H566" s="6">
        <v>163</v>
      </c>
      <c r="I566" s="7">
        <f t="shared" si="66"/>
        <v>23.285714285714285</v>
      </c>
      <c r="J566" s="6"/>
      <c r="K566" s="6"/>
      <c r="L566" s="6"/>
      <c r="M566" s="6"/>
      <c r="N566" s="6"/>
      <c r="O566" s="6"/>
      <c r="P566" s="7"/>
      <c r="Q566" s="6"/>
      <c r="R566" s="6"/>
      <c r="S566" s="7"/>
      <c r="T566" s="6"/>
      <c r="Y566" s="11"/>
      <c r="AA566" s="6"/>
      <c r="AB566" s="11"/>
    </row>
    <row r="567" spans="1:31" x14ac:dyDescent="0.25">
      <c r="A567" s="6" t="s">
        <v>413</v>
      </c>
      <c r="B567" s="6">
        <v>3</v>
      </c>
      <c r="C567" s="6">
        <v>11</v>
      </c>
      <c r="D567" s="6">
        <v>4</v>
      </c>
      <c r="E567" s="6">
        <v>2</v>
      </c>
      <c r="F567" s="7">
        <f t="shared" si="65"/>
        <v>5.5</v>
      </c>
      <c r="G567" s="6"/>
      <c r="H567" s="6"/>
      <c r="I567" s="7"/>
      <c r="J567" s="6"/>
      <c r="K567" s="6"/>
      <c r="L567" s="6"/>
      <c r="M567" s="6"/>
      <c r="N567" s="6"/>
      <c r="O567" s="6"/>
      <c r="P567" s="7"/>
      <c r="Q567" s="6"/>
      <c r="R567" s="6"/>
      <c r="S567" s="7"/>
      <c r="T567" s="6"/>
      <c r="Y567" s="11"/>
      <c r="AA567" s="6"/>
      <c r="AB567" s="11"/>
    </row>
    <row r="568" spans="1:31" x14ac:dyDescent="0.25">
      <c r="A568" s="6" t="s">
        <v>414</v>
      </c>
      <c r="B568" s="6">
        <v>5</v>
      </c>
      <c r="C568" s="6">
        <v>114</v>
      </c>
      <c r="D568" s="6">
        <v>4</v>
      </c>
      <c r="E568" s="6">
        <v>2</v>
      </c>
      <c r="F568" s="7">
        <f t="shared" si="65"/>
        <v>57</v>
      </c>
      <c r="G568" s="6">
        <v>8</v>
      </c>
      <c r="H568" s="6">
        <v>93</v>
      </c>
      <c r="I568" s="7">
        <f t="shared" si="66"/>
        <v>11.625</v>
      </c>
      <c r="J568" s="6"/>
      <c r="K568" s="6"/>
      <c r="L568" s="6"/>
      <c r="M568" s="6"/>
      <c r="N568" s="6"/>
      <c r="O568" s="6"/>
      <c r="P568" s="7"/>
      <c r="Q568" s="6"/>
      <c r="R568" s="6"/>
      <c r="S568" s="7"/>
      <c r="T568" s="6"/>
      <c r="Y568" s="11"/>
      <c r="AA568" s="6"/>
      <c r="AB568" s="11"/>
    </row>
    <row r="569" spans="1:31" x14ac:dyDescent="0.25">
      <c r="A569" s="6" t="s">
        <v>996</v>
      </c>
      <c r="B569" s="6">
        <v>4</v>
      </c>
      <c r="C569" s="6">
        <v>6</v>
      </c>
      <c r="D569" s="6">
        <v>1</v>
      </c>
      <c r="E569" s="6">
        <v>1</v>
      </c>
      <c r="F569" s="7"/>
      <c r="G569" s="6">
        <v>3</v>
      </c>
      <c r="H569" s="6">
        <v>54</v>
      </c>
      <c r="I569" s="7">
        <f t="shared" si="66"/>
        <v>18</v>
      </c>
      <c r="J569" s="6"/>
      <c r="K569" s="6"/>
      <c r="L569" s="6"/>
      <c r="M569" s="6"/>
      <c r="N569" s="6"/>
      <c r="O569" s="6"/>
      <c r="P569" s="7"/>
      <c r="Q569" s="6"/>
      <c r="R569" s="6"/>
      <c r="S569" s="7"/>
      <c r="T569" s="6"/>
      <c r="Y569" s="11"/>
      <c r="AA569" s="6"/>
      <c r="AB569" s="11"/>
      <c r="AE569" s="1" t="s">
        <v>983</v>
      </c>
    </row>
    <row r="570" spans="1:31" x14ac:dyDescent="0.25">
      <c r="A570" s="6" t="s">
        <v>415</v>
      </c>
      <c r="B570" s="6">
        <v>21</v>
      </c>
      <c r="C570" s="6">
        <v>63</v>
      </c>
      <c r="D570" s="6">
        <v>20</v>
      </c>
      <c r="E570" s="6">
        <v>4</v>
      </c>
      <c r="F570" s="7">
        <f t="shared" si="65"/>
        <v>3.9375</v>
      </c>
      <c r="G570" s="6">
        <v>4</v>
      </c>
      <c r="H570" s="6">
        <v>82</v>
      </c>
      <c r="I570" s="7">
        <f t="shared" si="66"/>
        <v>20.5</v>
      </c>
      <c r="J570" s="6"/>
      <c r="K570" s="6"/>
      <c r="L570" s="6"/>
      <c r="M570" s="6"/>
      <c r="N570" s="6"/>
      <c r="O570" s="6"/>
      <c r="P570" s="7"/>
      <c r="Q570" s="6"/>
      <c r="R570" s="6"/>
      <c r="S570" s="7"/>
      <c r="T570" s="6"/>
      <c r="Y570" s="11"/>
      <c r="AA570" s="6"/>
      <c r="AB570" s="11"/>
    </row>
    <row r="571" spans="1:31" x14ac:dyDescent="0.25">
      <c r="A571" s="6" t="s">
        <v>986</v>
      </c>
      <c r="B571" s="6">
        <v>36</v>
      </c>
      <c r="C571" s="6">
        <v>1382</v>
      </c>
      <c r="D571" s="6">
        <v>39</v>
      </c>
      <c r="E571" s="6">
        <v>10</v>
      </c>
      <c r="F571" s="7">
        <f t="shared" si="65"/>
        <v>47.655172413793103</v>
      </c>
      <c r="G571" s="6"/>
      <c r="H571" s="6">
        <v>6</v>
      </c>
      <c r="I571" s="10" t="s">
        <v>804</v>
      </c>
      <c r="J571" s="6"/>
      <c r="K571" s="6"/>
      <c r="L571" s="6">
        <v>10</v>
      </c>
      <c r="M571" s="6">
        <v>402</v>
      </c>
      <c r="N571" s="6">
        <v>10</v>
      </c>
      <c r="O571" s="6">
        <v>6</v>
      </c>
      <c r="P571" s="11">
        <f t="shared" si="69"/>
        <v>100.5</v>
      </c>
      <c r="Q571" s="6"/>
      <c r="R571" s="6">
        <v>6</v>
      </c>
      <c r="S571" s="10" t="s">
        <v>804</v>
      </c>
      <c r="T571" s="6"/>
      <c r="U571" s="13">
        <v>1</v>
      </c>
      <c r="V571" s="13">
        <v>1</v>
      </c>
      <c r="W571" s="13">
        <v>1</v>
      </c>
      <c r="X571" s="13"/>
      <c r="Y571" s="11">
        <f t="shared" si="71"/>
        <v>1</v>
      </c>
      <c r="Z571" s="13"/>
      <c r="AA571" s="13"/>
      <c r="AB571" s="11"/>
      <c r="AD571" s="6"/>
      <c r="AE571" s="8" t="s">
        <v>997</v>
      </c>
    </row>
    <row r="572" spans="1:31" x14ac:dyDescent="0.25">
      <c r="A572" s="6" t="s">
        <v>825</v>
      </c>
      <c r="B572" s="6">
        <v>41.5</v>
      </c>
      <c r="C572" s="6">
        <v>499</v>
      </c>
      <c r="D572" s="6">
        <v>32</v>
      </c>
      <c r="E572" s="6">
        <v>12</v>
      </c>
      <c r="F572" s="10" t="s">
        <v>804</v>
      </c>
      <c r="G572" s="6">
        <v>8</v>
      </c>
      <c r="H572" s="6">
        <v>355</v>
      </c>
      <c r="I572" s="7">
        <f t="shared" si="66"/>
        <v>44.375</v>
      </c>
      <c r="J572" s="6"/>
      <c r="K572" s="6"/>
      <c r="L572" s="6">
        <v>1</v>
      </c>
      <c r="M572" s="6"/>
      <c r="N572" s="6"/>
      <c r="O572" s="6"/>
      <c r="P572" s="7"/>
      <c r="Q572" s="6">
        <v>1</v>
      </c>
      <c r="R572" s="6">
        <v>16</v>
      </c>
      <c r="S572" s="7">
        <f t="shared" si="70"/>
        <v>16</v>
      </c>
      <c r="T572" s="6"/>
      <c r="U572" s="13">
        <v>1</v>
      </c>
      <c r="V572" s="13">
        <v>4</v>
      </c>
      <c r="W572" s="13">
        <v>1</v>
      </c>
      <c r="X572" s="13"/>
      <c r="Y572" s="11">
        <f t="shared" si="71"/>
        <v>4</v>
      </c>
      <c r="Z572" s="13"/>
      <c r="AA572" s="13"/>
      <c r="AB572" s="11"/>
      <c r="AD572" s="6"/>
      <c r="AE572" s="8" t="s">
        <v>998</v>
      </c>
    </row>
    <row r="573" spans="1:31" x14ac:dyDescent="0.25">
      <c r="A573" s="6" t="s">
        <v>416</v>
      </c>
      <c r="B573" s="6">
        <v>4</v>
      </c>
      <c r="C573" s="6">
        <v>107</v>
      </c>
      <c r="D573" s="6">
        <v>5</v>
      </c>
      <c r="E573" s="6"/>
      <c r="F573" s="7">
        <f t="shared" si="65"/>
        <v>21.4</v>
      </c>
      <c r="G573" s="6"/>
      <c r="H573" s="6"/>
      <c r="I573" s="7"/>
      <c r="J573" s="6"/>
      <c r="K573" s="6"/>
      <c r="L573" s="6">
        <v>1</v>
      </c>
      <c r="M573" s="6"/>
      <c r="N573" s="6">
        <v>1</v>
      </c>
      <c r="O573" s="6"/>
      <c r="P573" s="7"/>
      <c r="Q573" s="6"/>
      <c r="R573" s="6"/>
      <c r="S573" s="7"/>
      <c r="T573" s="6"/>
      <c r="Y573" s="11"/>
      <c r="AB573" s="11"/>
      <c r="AD573" s="6"/>
      <c r="AE573" s="8" t="s">
        <v>201</v>
      </c>
    </row>
    <row r="574" spans="1:31" x14ac:dyDescent="0.25">
      <c r="A574" s="6" t="s">
        <v>417</v>
      </c>
      <c r="B574" s="6">
        <v>11</v>
      </c>
      <c r="C574" s="6">
        <v>133</v>
      </c>
      <c r="D574" s="6">
        <v>11</v>
      </c>
      <c r="E574" s="6"/>
      <c r="F574" s="7">
        <f t="shared" si="65"/>
        <v>12.090909090909092</v>
      </c>
      <c r="G574" s="6">
        <v>3</v>
      </c>
      <c r="H574" s="6">
        <v>25</v>
      </c>
      <c r="I574" s="7">
        <f t="shared" si="66"/>
        <v>8.3333333333333339</v>
      </c>
      <c r="J574" s="6"/>
      <c r="K574" s="6"/>
      <c r="L574" s="6"/>
      <c r="M574" s="6"/>
      <c r="N574" s="6"/>
      <c r="O574" s="6"/>
      <c r="P574" s="7"/>
      <c r="Q574" s="6"/>
      <c r="R574" s="6"/>
      <c r="S574" s="7"/>
      <c r="T574" s="6"/>
      <c r="Y574" s="11"/>
      <c r="AA574" s="6"/>
      <c r="AB574" s="11"/>
    </row>
    <row r="575" spans="1:31" x14ac:dyDescent="0.25">
      <c r="A575" s="6" t="s">
        <v>1156</v>
      </c>
      <c r="B575" s="6">
        <v>5</v>
      </c>
      <c r="C575" s="6">
        <v>21</v>
      </c>
      <c r="D575" s="6">
        <v>5</v>
      </c>
      <c r="E575" s="6"/>
      <c r="F575" s="7">
        <f t="shared" si="65"/>
        <v>4.2</v>
      </c>
      <c r="G575" s="6">
        <v>5</v>
      </c>
      <c r="H575" s="6">
        <v>143</v>
      </c>
      <c r="I575" s="7">
        <f t="shared" si="66"/>
        <v>28.6</v>
      </c>
      <c r="J575" s="6"/>
      <c r="K575" s="6"/>
      <c r="L575" s="6"/>
      <c r="M575" s="6"/>
      <c r="N575" s="6"/>
      <c r="O575" s="6"/>
      <c r="P575" s="7"/>
      <c r="Q575" s="6"/>
      <c r="R575" s="6"/>
      <c r="S575" s="7"/>
      <c r="T575" s="6"/>
      <c r="Y575" s="11"/>
      <c r="AA575" s="6"/>
      <c r="AB575" s="11"/>
      <c r="AE575" s="8" t="s">
        <v>1157</v>
      </c>
    </row>
    <row r="576" spans="1:31" x14ac:dyDescent="0.25">
      <c r="A576" s="6" t="s">
        <v>1113</v>
      </c>
      <c r="B576" s="6"/>
      <c r="C576" s="6"/>
      <c r="D576" s="6"/>
      <c r="E576" s="6"/>
      <c r="F576" s="7"/>
      <c r="G576" s="6"/>
      <c r="H576" s="6"/>
      <c r="I576" s="7"/>
      <c r="J576" s="6"/>
      <c r="K576" s="6"/>
      <c r="L576" s="6"/>
      <c r="M576" s="6"/>
      <c r="N576" s="6"/>
      <c r="O576" s="6"/>
      <c r="P576" s="7"/>
      <c r="Q576" s="6"/>
      <c r="R576" s="6"/>
      <c r="S576" s="7"/>
      <c r="T576" s="6"/>
      <c r="U576" s="8">
        <v>1</v>
      </c>
      <c r="Y576" s="11"/>
      <c r="AA576" s="6"/>
      <c r="AB576" s="11"/>
    </row>
    <row r="577" spans="1:31" x14ac:dyDescent="0.25">
      <c r="A577" s="6" t="s">
        <v>1159</v>
      </c>
      <c r="B577" s="6">
        <v>5</v>
      </c>
      <c r="C577" s="6">
        <v>43</v>
      </c>
      <c r="D577" s="6">
        <v>7</v>
      </c>
      <c r="E577" s="6">
        <v>2</v>
      </c>
      <c r="F577" s="7"/>
      <c r="G577" s="6"/>
      <c r="H577" s="6">
        <v>51</v>
      </c>
      <c r="I577" s="7"/>
      <c r="J577" s="6"/>
      <c r="K577" s="6"/>
      <c r="L577" s="6"/>
      <c r="M577" s="6"/>
      <c r="N577" s="6"/>
      <c r="O577" s="6"/>
      <c r="P577" s="7"/>
      <c r="Q577" s="6"/>
      <c r="R577" s="6"/>
      <c r="S577" s="7"/>
      <c r="T577" s="6"/>
      <c r="U577" s="8"/>
      <c r="Y577" s="11"/>
      <c r="AA577" s="6"/>
      <c r="AB577" s="11"/>
      <c r="AE577" s="8" t="s">
        <v>1160</v>
      </c>
    </row>
    <row r="578" spans="1:31" x14ac:dyDescent="0.25">
      <c r="A578" s="6" t="s">
        <v>999</v>
      </c>
      <c r="B578" s="6">
        <v>105</v>
      </c>
      <c r="C578" s="6">
        <v>880</v>
      </c>
      <c r="D578" s="6">
        <v>79</v>
      </c>
      <c r="E578" s="6">
        <v>30</v>
      </c>
      <c r="F578" s="7">
        <f t="shared" si="65"/>
        <v>17.959183673469386</v>
      </c>
      <c r="G578" s="6">
        <v>69</v>
      </c>
      <c r="H578" s="6">
        <v>1518</v>
      </c>
      <c r="I578" s="7">
        <f t="shared" si="66"/>
        <v>22</v>
      </c>
      <c r="J578" s="6"/>
      <c r="K578" s="6"/>
      <c r="L578" s="6"/>
      <c r="M578" s="6"/>
      <c r="N578" s="6"/>
      <c r="O578" s="6"/>
      <c r="P578" s="7"/>
      <c r="Q578" s="6"/>
      <c r="R578" s="6"/>
      <c r="S578" s="7"/>
      <c r="T578" s="6"/>
      <c r="U578" s="13">
        <v>10</v>
      </c>
      <c r="V578" s="13">
        <v>29</v>
      </c>
      <c r="W578" s="13">
        <v>6</v>
      </c>
      <c r="X578" s="13">
        <v>6</v>
      </c>
      <c r="Y578" s="11"/>
      <c r="Z578" s="13">
        <v>11</v>
      </c>
      <c r="AA578" s="13">
        <v>340</v>
      </c>
      <c r="AB578" s="11">
        <f t="shared" ref="AB578" si="72">AA578/Z578</f>
        <v>30.90909090909091</v>
      </c>
      <c r="AE578" s="8" t="s">
        <v>1161</v>
      </c>
    </row>
    <row r="579" spans="1:31" x14ac:dyDescent="0.25">
      <c r="A579" s="6" t="s">
        <v>418</v>
      </c>
      <c r="B579" s="11">
        <v>168.5</v>
      </c>
      <c r="C579" s="6">
        <v>3920</v>
      </c>
      <c r="D579" s="6">
        <v>188</v>
      </c>
      <c r="E579" s="6">
        <v>22</v>
      </c>
      <c r="F579" s="7">
        <f t="shared" si="65"/>
        <v>23.6144578313253</v>
      </c>
      <c r="G579" s="6">
        <v>32</v>
      </c>
      <c r="H579" s="6">
        <v>907</v>
      </c>
      <c r="I579" s="7">
        <f t="shared" si="66"/>
        <v>28.34375</v>
      </c>
      <c r="J579" s="6"/>
      <c r="K579" s="6"/>
      <c r="L579" s="6">
        <v>67</v>
      </c>
      <c r="M579" s="6">
        <v>1366</v>
      </c>
      <c r="N579" s="6">
        <v>59</v>
      </c>
      <c r="O579" s="6">
        <v>12</v>
      </c>
      <c r="P579" s="7">
        <f t="shared" si="69"/>
        <v>29.063829787234042</v>
      </c>
      <c r="Q579" s="6">
        <v>7</v>
      </c>
      <c r="R579" s="6">
        <v>286</v>
      </c>
      <c r="S579" s="7">
        <f t="shared" si="70"/>
        <v>40.857142857142854</v>
      </c>
      <c r="T579" s="6"/>
      <c r="Y579" s="11"/>
      <c r="AB579" s="11"/>
      <c r="AD579" s="6"/>
      <c r="AE579" s="8" t="s">
        <v>419</v>
      </c>
    </row>
    <row r="580" spans="1:31" x14ac:dyDescent="0.25">
      <c r="A580" s="6" t="s">
        <v>420</v>
      </c>
      <c r="B580" s="6">
        <v>102</v>
      </c>
      <c r="C580" s="6">
        <v>2800</v>
      </c>
      <c r="D580" s="6">
        <v>133</v>
      </c>
      <c r="E580" s="6">
        <v>26</v>
      </c>
      <c r="F580" s="7">
        <f t="shared" si="65"/>
        <v>26.168224299065422</v>
      </c>
      <c r="G580" s="6">
        <v>77</v>
      </c>
      <c r="H580" s="6">
        <v>1823</v>
      </c>
      <c r="I580" s="7">
        <f t="shared" si="66"/>
        <v>23.675324675324674</v>
      </c>
      <c r="J580" s="6"/>
      <c r="K580" s="6"/>
      <c r="L580" s="6">
        <v>113</v>
      </c>
      <c r="M580" s="6">
        <v>2549</v>
      </c>
      <c r="N580" s="6">
        <v>99</v>
      </c>
      <c r="O580" s="6">
        <v>19</v>
      </c>
      <c r="P580" s="7">
        <f t="shared" si="69"/>
        <v>31.862500000000001</v>
      </c>
      <c r="Q580" s="6">
        <v>65</v>
      </c>
      <c r="R580" s="6">
        <v>1535</v>
      </c>
      <c r="S580" s="7">
        <f t="shared" si="70"/>
        <v>23.615384615384617</v>
      </c>
      <c r="T580" s="6"/>
      <c r="Y580" s="11"/>
      <c r="AB580" s="11"/>
      <c r="AD580" s="6"/>
      <c r="AE580" s="8" t="s">
        <v>670</v>
      </c>
    </row>
    <row r="581" spans="1:31" x14ac:dyDescent="0.25">
      <c r="A581" s="6" t="s">
        <v>421</v>
      </c>
      <c r="B581" s="6">
        <v>4</v>
      </c>
      <c r="C581" s="6">
        <v>9</v>
      </c>
      <c r="D581" s="6">
        <v>4</v>
      </c>
      <c r="E581" s="6">
        <v>1</v>
      </c>
      <c r="F581" s="7">
        <f t="shared" si="65"/>
        <v>3</v>
      </c>
      <c r="G581" s="6"/>
      <c r="H581" s="6">
        <v>20</v>
      </c>
      <c r="I581" s="7"/>
      <c r="J581" s="6"/>
      <c r="K581" s="6"/>
      <c r="L581" s="6">
        <v>5</v>
      </c>
      <c r="M581" s="6">
        <v>9</v>
      </c>
      <c r="N581" s="6">
        <v>4</v>
      </c>
      <c r="O581" s="6">
        <v>1</v>
      </c>
      <c r="P581" s="7">
        <f t="shared" si="69"/>
        <v>3</v>
      </c>
      <c r="Q581" s="6"/>
      <c r="R581" s="6">
        <v>20</v>
      </c>
      <c r="S581" s="7"/>
      <c r="T581" s="6"/>
      <c r="Y581" s="11"/>
      <c r="AB581" s="11"/>
      <c r="AD581" s="6"/>
      <c r="AE581" s="8" t="s">
        <v>645</v>
      </c>
    </row>
    <row r="582" spans="1:31" x14ac:dyDescent="0.25">
      <c r="A582" s="6" t="s">
        <v>422</v>
      </c>
      <c r="B582" s="6">
        <v>95.5</v>
      </c>
      <c r="C582" s="6">
        <v>1729</v>
      </c>
      <c r="D582" s="6">
        <v>113</v>
      </c>
      <c r="E582" s="6">
        <v>10</v>
      </c>
      <c r="F582" s="7">
        <f t="shared" si="65"/>
        <v>16.78640776699029</v>
      </c>
      <c r="G582" s="6">
        <v>5</v>
      </c>
      <c r="H582" s="6">
        <v>75</v>
      </c>
      <c r="I582" s="7">
        <f t="shared" si="66"/>
        <v>15</v>
      </c>
      <c r="J582" s="6"/>
      <c r="K582" s="6"/>
      <c r="L582" s="6">
        <v>33</v>
      </c>
      <c r="M582" s="6">
        <v>419</v>
      </c>
      <c r="N582" s="6">
        <v>30</v>
      </c>
      <c r="O582" s="6">
        <v>3</v>
      </c>
      <c r="P582" s="7">
        <f t="shared" si="69"/>
        <v>15.518518518518519</v>
      </c>
      <c r="Q582" s="6">
        <v>1</v>
      </c>
      <c r="R582" s="6">
        <v>6</v>
      </c>
      <c r="S582" s="7">
        <f t="shared" si="70"/>
        <v>6</v>
      </c>
      <c r="T582" s="6"/>
      <c r="Y582" s="11"/>
      <c r="AB582" s="11"/>
      <c r="AD582" s="6"/>
      <c r="AE582" s="8" t="s">
        <v>423</v>
      </c>
    </row>
    <row r="583" spans="1:31" x14ac:dyDescent="0.25">
      <c r="A583" s="6" t="s">
        <v>424</v>
      </c>
      <c r="B583" s="6">
        <v>4</v>
      </c>
      <c r="C583" s="6">
        <v>42</v>
      </c>
      <c r="D583" s="6">
        <v>7</v>
      </c>
      <c r="E583" s="6">
        <v>1</v>
      </c>
      <c r="F583" s="7">
        <f t="shared" si="65"/>
        <v>7</v>
      </c>
      <c r="G583" s="6"/>
      <c r="H583" s="6">
        <v>33</v>
      </c>
      <c r="I583" s="7"/>
      <c r="J583" s="6"/>
      <c r="K583" s="6"/>
      <c r="L583" s="6"/>
      <c r="M583" s="6"/>
      <c r="N583" s="6"/>
      <c r="O583" s="6"/>
      <c r="P583" s="7"/>
      <c r="Q583" s="6"/>
      <c r="R583" s="6"/>
      <c r="S583" s="7"/>
      <c r="T583" s="6"/>
      <c r="Y583" s="11"/>
      <c r="AA583" s="6"/>
      <c r="AB583" s="11"/>
    </row>
    <row r="584" spans="1:31" x14ac:dyDescent="0.25">
      <c r="A584" s="6" t="s">
        <v>425</v>
      </c>
      <c r="B584" s="6">
        <v>3</v>
      </c>
      <c r="C584" s="6"/>
      <c r="D584" s="6">
        <v>2</v>
      </c>
      <c r="E584" s="6"/>
      <c r="F584" s="7"/>
      <c r="G584" s="6"/>
      <c r="H584" s="6"/>
      <c r="I584" s="7"/>
      <c r="J584" s="6"/>
      <c r="K584" s="6"/>
      <c r="L584" s="6"/>
      <c r="M584" s="6"/>
      <c r="N584" s="6"/>
      <c r="O584" s="6"/>
      <c r="P584" s="7"/>
      <c r="Q584" s="6"/>
      <c r="R584" s="6"/>
      <c r="S584" s="7"/>
      <c r="T584" s="6"/>
      <c r="Y584" s="11"/>
      <c r="AA584" s="6"/>
      <c r="AB584" s="11"/>
    </row>
    <row r="585" spans="1:31" x14ac:dyDescent="0.25">
      <c r="A585" s="6" t="s">
        <v>759</v>
      </c>
      <c r="B585" s="6">
        <v>20.5</v>
      </c>
      <c r="C585" s="6">
        <v>281</v>
      </c>
      <c r="D585" s="6">
        <v>20</v>
      </c>
      <c r="E585" s="6">
        <v>3</v>
      </c>
      <c r="F585" s="7">
        <f t="shared" ref="F585" si="73">(C585/(D585-E585))</f>
        <v>16.529411764705884</v>
      </c>
      <c r="G585" s="6">
        <v>29</v>
      </c>
      <c r="H585" s="6">
        <v>472</v>
      </c>
      <c r="I585" s="7">
        <f t="shared" ref="I585" si="74">(H585/G585)</f>
        <v>16.275862068965516</v>
      </c>
      <c r="J585" s="6"/>
      <c r="K585" s="6"/>
      <c r="L585" s="6">
        <v>7</v>
      </c>
      <c r="M585" s="6">
        <v>26</v>
      </c>
      <c r="N585" s="6">
        <v>5</v>
      </c>
      <c r="O585" s="6">
        <v>1</v>
      </c>
      <c r="P585" s="7">
        <f t="shared" si="69"/>
        <v>6.5</v>
      </c>
      <c r="Q585" s="6">
        <v>11</v>
      </c>
      <c r="R585" s="6">
        <v>174</v>
      </c>
      <c r="S585" s="7">
        <f t="shared" si="70"/>
        <v>15.818181818181818</v>
      </c>
      <c r="T585" s="6"/>
      <c r="Y585" s="11"/>
      <c r="AB585" s="11"/>
      <c r="AD585" s="6"/>
      <c r="AE585" s="8" t="s">
        <v>760</v>
      </c>
    </row>
    <row r="586" spans="1:31" x14ac:dyDescent="0.25">
      <c r="A586" s="6" t="s">
        <v>1158</v>
      </c>
      <c r="B586" s="6">
        <v>1</v>
      </c>
      <c r="C586" s="6"/>
      <c r="D586" s="6"/>
      <c r="E586" s="6"/>
      <c r="F586" s="7"/>
      <c r="G586" s="6"/>
      <c r="H586" s="6"/>
      <c r="I586" s="7"/>
      <c r="J586" s="6"/>
      <c r="K586" s="6"/>
      <c r="L586" s="6"/>
      <c r="M586" s="6"/>
      <c r="N586" s="6"/>
      <c r="O586" s="6"/>
      <c r="P586" s="7"/>
      <c r="Q586" s="6"/>
      <c r="R586" s="6"/>
      <c r="S586" s="7"/>
      <c r="T586" s="6"/>
      <c r="Y586" s="11"/>
      <c r="AB586" s="11"/>
      <c r="AD586" s="6"/>
      <c r="AE586" s="8" t="s">
        <v>1028</v>
      </c>
    </row>
    <row r="587" spans="1:31" x14ac:dyDescent="0.25">
      <c r="A587" s="6" t="s">
        <v>426</v>
      </c>
      <c r="B587" s="6">
        <v>2</v>
      </c>
      <c r="C587" s="6">
        <v>27</v>
      </c>
      <c r="D587" s="6">
        <v>2</v>
      </c>
      <c r="E587" s="6">
        <v>2</v>
      </c>
      <c r="F587" s="7"/>
      <c r="G587" s="6"/>
      <c r="H587" s="6"/>
      <c r="I587" s="7"/>
      <c r="J587" s="6"/>
      <c r="K587" s="6"/>
      <c r="L587" s="6"/>
      <c r="M587" s="6"/>
      <c r="N587" s="6"/>
      <c r="O587" s="6"/>
      <c r="P587" s="7"/>
      <c r="Q587" s="6"/>
      <c r="R587" s="6"/>
      <c r="S587" s="7"/>
      <c r="T587" s="6"/>
      <c r="Y587" s="11"/>
      <c r="AA587" s="6"/>
      <c r="AB587" s="11"/>
    </row>
    <row r="588" spans="1:31" x14ac:dyDescent="0.25">
      <c r="A588" s="6" t="s">
        <v>427</v>
      </c>
      <c r="B588" s="6">
        <v>5</v>
      </c>
      <c r="C588" s="6">
        <v>7</v>
      </c>
      <c r="D588" s="6">
        <v>3</v>
      </c>
      <c r="E588" s="6"/>
      <c r="F588" s="7">
        <f t="shared" ref="F588:F675" si="75">(C588/(D588-E588))</f>
        <v>2.3333333333333335</v>
      </c>
      <c r="G588" s="6"/>
      <c r="H588" s="6">
        <v>21</v>
      </c>
      <c r="I588" s="7"/>
      <c r="J588" s="6"/>
      <c r="K588" s="6"/>
      <c r="L588" s="6"/>
      <c r="M588" s="6"/>
      <c r="N588" s="6"/>
      <c r="O588" s="6"/>
      <c r="P588" s="7"/>
      <c r="Q588" s="6"/>
      <c r="R588" s="6"/>
      <c r="S588" s="7"/>
      <c r="T588" s="6"/>
      <c r="Y588" s="11"/>
      <c r="AA588" s="6"/>
      <c r="AB588" s="11"/>
    </row>
    <row r="589" spans="1:31" x14ac:dyDescent="0.25">
      <c r="A589" s="6" t="s">
        <v>827</v>
      </c>
      <c r="B589" s="6">
        <v>2</v>
      </c>
      <c r="C589" s="6">
        <v>25</v>
      </c>
      <c r="D589" s="6">
        <v>2</v>
      </c>
      <c r="E589" s="6"/>
      <c r="F589" s="7">
        <f t="shared" si="75"/>
        <v>12.5</v>
      </c>
      <c r="G589" s="6"/>
      <c r="H589" s="6">
        <v>7</v>
      </c>
      <c r="I589" s="10" t="s">
        <v>804</v>
      </c>
      <c r="J589" s="6"/>
      <c r="K589" s="6"/>
      <c r="L589" s="6">
        <v>1</v>
      </c>
      <c r="M589" s="6">
        <v>11</v>
      </c>
      <c r="N589" s="6">
        <v>1</v>
      </c>
      <c r="O589" s="6"/>
      <c r="P589" s="7">
        <f t="shared" si="69"/>
        <v>11</v>
      </c>
      <c r="Q589" s="6"/>
      <c r="R589" s="6">
        <v>7</v>
      </c>
      <c r="S589" s="10" t="s">
        <v>804</v>
      </c>
      <c r="T589" s="6"/>
      <c r="Y589" s="11"/>
      <c r="AB589" s="11"/>
      <c r="AD589" s="6"/>
      <c r="AE589" s="8" t="s">
        <v>870</v>
      </c>
    </row>
    <row r="590" spans="1:31" x14ac:dyDescent="0.25">
      <c r="A590" s="6" t="s">
        <v>428</v>
      </c>
      <c r="B590" s="6">
        <v>3</v>
      </c>
      <c r="C590" s="6">
        <v>3</v>
      </c>
      <c r="D590" s="6">
        <v>2</v>
      </c>
      <c r="E590" s="6">
        <v>1</v>
      </c>
      <c r="F590" s="7">
        <f t="shared" si="75"/>
        <v>3</v>
      </c>
      <c r="G590" s="6"/>
      <c r="H590" s="6">
        <v>20</v>
      </c>
      <c r="I590" s="7"/>
      <c r="J590" s="6"/>
      <c r="K590" s="6"/>
      <c r="L590" s="6"/>
      <c r="M590" s="6"/>
      <c r="N590" s="6"/>
      <c r="O590" s="6"/>
      <c r="P590" s="7"/>
      <c r="Q590" s="6"/>
      <c r="R590" s="6"/>
      <c r="S590" s="7"/>
      <c r="T590" s="6"/>
      <c r="Y590" s="11"/>
      <c r="AA590" s="6"/>
      <c r="AB590" s="11"/>
    </row>
    <row r="591" spans="1:31" x14ac:dyDescent="0.25">
      <c r="A591" s="6" t="s">
        <v>429</v>
      </c>
      <c r="B591" s="11">
        <v>157.5</v>
      </c>
      <c r="C591" s="6">
        <v>2733</v>
      </c>
      <c r="D591" s="6">
        <v>163</v>
      </c>
      <c r="E591" s="6">
        <v>21</v>
      </c>
      <c r="F591" s="7">
        <f t="shared" si="75"/>
        <v>19.246478873239436</v>
      </c>
      <c r="G591" s="6">
        <v>20</v>
      </c>
      <c r="H591" s="6">
        <v>549</v>
      </c>
      <c r="I591" s="7">
        <f t="shared" ref="I591:I677" si="76">(H591/G591)</f>
        <v>27.45</v>
      </c>
      <c r="J591" s="6"/>
      <c r="K591" s="6"/>
      <c r="L591" s="6">
        <v>21</v>
      </c>
      <c r="M591" s="6">
        <v>289</v>
      </c>
      <c r="N591" s="6">
        <v>19</v>
      </c>
      <c r="O591" s="6">
        <v>8</v>
      </c>
      <c r="P591" s="7">
        <f t="shared" si="69"/>
        <v>26.272727272727273</v>
      </c>
      <c r="Q591" s="6">
        <v>6</v>
      </c>
      <c r="R591" s="6">
        <v>88</v>
      </c>
      <c r="S591" s="7">
        <f t="shared" si="70"/>
        <v>14.666666666666666</v>
      </c>
      <c r="T591" s="6"/>
      <c r="Y591" s="11"/>
      <c r="AB591" s="11"/>
      <c r="AD591" s="6"/>
      <c r="AE591" s="8" t="s">
        <v>733</v>
      </c>
    </row>
    <row r="592" spans="1:31" x14ac:dyDescent="0.25">
      <c r="A592" s="6" t="s">
        <v>924</v>
      </c>
      <c r="B592" s="14">
        <v>10</v>
      </c>
      <c r="C592" s="6">
        <v>147</v>
      </c>
      <c r="D592" s="6">
        <v>9</v>
      </c>
      <c r="E592" s="6">
        <v>1</v>
      </c>
      <c r="F592" s="7">
        <f t="shared" si="75"/>
        <v>18.375</v>
      </c>
      <c r="G592" s="6">
        <v>15</v>
      </c>
      <c r="H592" s="6">
        <v>436</v>
      </c>
      <c r="I592" s="7">
        <f t="shared" si="76"/>
        <v>29.066666666666666</v>
      </c>
      <c r="J592" s="6"/>
      <c r="K592" s="6"/>
      <c r="L592" s="6"/>
      <c r="M592" s="6"/>
      <c r="N592" s="6"/>
      <c r="O592" s="6"/>
      <c r="P592" s="7"/>
      <c r="Q592" s="6"/>
      <c r="R592" s="6"/>
      <c r="S592" s="7"/>
      <c r="T592" s="6"/>
      <c r="U592" s="13">
        <v>4</v>
      </c>
      <c r="V592" s="13">
        <v>81</v>
      </c>
      <c r="W592" s="13">
        <v>4</v>
      </c>
      <c r="X592" s="13">
        <v>1</v>
      </c>
      <c r="Y592" s="11">
        <f t="shared" si="71"/>
        <v>27</v>
      </c>
      <c r="Z592" s="13">
        <v>3</v>
      </c>
      <c r="AA592" s="13">
        <v>79</v>
      </c>
      <c r="AB592" s="11">
        <f t="shared" ref="AB592:AB604" si="77">AA592/Z592</f>
        <v>26.333333333333332</v>
      </c>
      <c r="AD592" s="6"/>
      <c r="AE592" s="8" t="s">
        <v>1000</v>
      </c>
    </row>
    <row r="593" spans="1:31" x14ac:dyDescent="0.25">
      <c r="A593" s="6" t="s">
        <v>1001</v>
      </c>
      <c r="B593" s="11">
        <v>0.5</v>
      </c>
      <c r="C593" s="6"/>
      <c r="D593" s="6"/>
      <c r="E593" s="6"/>
      <c r="F593" s="7"/>
      <c r="G593" s="6">
        <v>3</v>
      </c>
      <c r="H593" s="6">
        <v>22</v>
      </c>
      <c r="I593" s="7">
        <f t="shared" si="76"/>
        <v>7.333333333333333</v>
      </c>
      <c r="J593" s="6"/>
      <c r="K593" s="6"/>
      <c r="L593" s="6"/>
      <c r="M593" s="6"/>
      <c r="N593" s="6"/>
      <c r="O593" s="6"/>
      <c r="P593" s="7"/>
      <c r="Q593" s="6"/>
      <c r="R593" s="6"/>
      <c r="S593" s="7"/>
      <c r="T593" s="6"/>
      <c r="U593" s="13">
        <v>1</v>
      </c>
      <c r="Y593" s="11"/>
      <c r="Z593" s="13">
        <v>3</v>
      </c>
      <c r="AA593" s="13">
        <v>22</v>
      </c>
      <c r="AB593" s="11">
        <f t="shared" si="77"/>
        <v>7.333333333333333</v>
      </c>
      <c r="AD593" s="6"/>
      <c r="AE593" s="8" t="s">
        <v>939</v>
      </c>
    </row>
    <row r="594" spans="1:31" x14ac:dyDescent="0.25">
      <c r="A594" s="6" t="s">
        <v>430</v>
      </c>
      <c r="B594" s="6">
        <v>49</v>
      </c>
      <c r="C594" s="6">
        <v>1088</v>
      </c>
      <c r="D594" s="6">
        <v>49</v>
      </c>
      <c r="E594" s="6">
        <v>3</v>
      </c>
      <c r="F594" s="7">
        <f t="shared" si="75"/>
        <v>23.652173913043477</v>
      </c>
      <c r="G594" s="6">
        <v>34</v>
      </c>
      <c r="H594" s="6">
        <v>886</v>
      </c>
      <c r="I594" s="7">
        <f t="shared" si="76"/>
        <v>26.058823529411764</v>
      </c>
      <c r="J594" s="6"/>
      <c r="K594" s="6"/>
      <c r="L594" s="6"/>
      <c r="M594" s="6"/>
      <c r="N594" s="6"/>
      <c r="O594" s="6"/>
      <c r="P594" s="7"/>
      <c r="Q594" s="6"/>
      <c r="R594" s="6"/>
      <c r="S594" s="7"/>
      <c r="T594" s="6"/>
      <c r="Y594" s="11"/>
      <c r="AA594" s="6"/>
      <c r="AB594" s="11"/>
    </row>
    <row r="595" spans="1:31" x14ac:dyDescent="0.25">
      <c r="A595" s="6" t="s">
        <v>431</v>
      </c>
      <c r="B595" s="6">
        <v>34</v>
      </c>
      <c r="C595" s="6">
        <v>798</v>
      </c>
      <c r="D595" s="6">
        <v>39</v>
      </c>
      <c r="E595" s="6">
        <v>4</v>
      </c>
      <c r="F595" s="7">
        <f t="shared" si="75"/>
        <v>22.8</v>
      </c>
      <c r="G595" s="6">
        <v>1</v>
      </c>
      <c r="H595" s="6">
        <v>91</v>
      </c>
      <c r="I595" s="7">
        <f t="shared" si="76"/>
        <v>91</v>
      </c>
      <c r="J595" s="6"/>
      <c r="K595" s="6"/>
      <c r="L595" s="6"/>
      <c r="M595" s="6"/>
      <c r="N595" s="6"/>
      <c r="O595" s="6"/>
      <c r="P595" s="7"/>
      <c r="Q595" s="6"/>
      <c r="R595" s="6"/>
      <c r="S595" s="7"/>
      <c r="T595" s="6"/>
      <c r="Y595" s="11"/>
      <c r="AA595" s="6"/>
      <c r="AB595" s="11"/>
    </row>
    <row r="596" spans="1:31" x14ac:dyDescent="0.25">
      <c r="A596" s="6" t="s">
        <v>432</v>
      </c>
      <c r="B596" s="6">
        <v>27</v>
      </c>
      <c r="C596" s="6">
        <v>70</v>
      </c>
      <c r="D596" s="6">
        <v>18</v>
      </c>
      <c r="E596" s="6">
        <v>8</v>
      </c>
      <c r="F596" s="7">
        <f t="shared" si="75"/>
        <v>7</v>
      </c>
      <c r="G596" s="6">
        <v>3</v>
      </c>
      <c r="H596" s="6">
        <v>57</v>
      </c>
      <c r="I596" s="7">
        <f t="shared" si="76"/>
        <v>19</v>
      </c>
      <c r="J596" s="6"/>
      <c r="K596" s="6"/>
      <c r="L596" s="6"/>
      <c r="M596" s="6"/>
      <c r="N596" s="6"/>
      <c r="O596" s="6"/>
      <c r="P596" s="7"/>
      <c r="Q596" s="6"/>
      <c r="R596" s="6"/>
      <c r="S596" s="7"/>
      <c r="T596" s="6"/>
      <c r="Y596" s="11"/>
      <c r="AA596" s="6"/>
      <c r="AB596" s="11"/>
    </row>
    <row r="597" spans="1:31" x14ac:dyDescent="0.25">
      <c r="A597" s="17" t="s">
        <v>890</v>
      </c>
      <c r="B597" s="6">
        <v>3</v>
      </c>
      <c r="C597" s="6">
        <v>211</v>
      </c>
      <c r="D597" s="6">
        <v>3</v>
      </c>
      <c r="E597" s="6"/>
      <c r="F597" s="7">
        <f t="shared" si="75"/>
        <v>70.333333333333329</v>
      </c>
      <c r="G597" s="6">
        <v>8</v>
      </c>
      <c r="H597" s="6">
        <v>62</v>
      </c>
      <c r="I597" s="7">
        <f t="shared" si="76"/>
        <v>7.75</v>
      </c>
      <c r="J597" s="6"/>
      <c r="K597" s="6"/>
      <c r="L597" s="6"/>
      <c r="M597" s="6"/>
      <c r="N597" s="6"/>
      <c r="O597" s="6"/>
      <c r="P597" s="7"/>
      <c r="Q597" s="6"/>
      <c r="R597" s="6"/>
      <c r="S597" s="7"/>
      <c r="T597" s="6"/>
      <c r="Y597" s="11"/>
      <c r="AA597" s="6"/>
      <c r="AB597" s="11"/>
    </row>
    <row r="598" spans="1:31" x14ac:dyDescent="0.25">
      <c r="A598" s="6" t="s">
        <v>433</v>
      </c>
      <c r="B598" s="6">
        <v>22</v>
      </c>
      <c r="C598" s="6">
        <v>284</v>
      </c>
      <c r="D598" s="6">
        <v>31</v>
      </c>
      <c r="E598" s="6">
        <v>4</v>
      </c>
      <c r="F598" s="7">
        <f t="shared" si="75"/>
        <v>10.518518518518519</v>
      </c>
      <c r="G598" s="6">
        <v>38</v>
      </c>
      <c r="H598" s="6">
        <v>908</v>
      </c>
      <c r="I598" s="7">
        <f t="shared" si="76"/>
        <v>23.894736842105264</v>
      </c>
      <c r="J598" s="6"/>
      <c r="K598" s="6"/>
      <c r="L598" s="6"/>
      <c r="M598" s="6"/>
      <c r="N598" s="6"/>
      <c r="O598" s="6"/>
      <c r="P598" s="7"/>
      <c r="Q598" s="6"/>
      <c r="R598" s="6"/>
      <c r="S598" s="7"/>
      <c r="T598" s="6"/>
      <c r="Y598" s="11"/>
      <c r="AA598" s="6"/>
      <c r="AB598" s="11"/>
    </row>
    <row r="599" spans="1:31" x14ac:dyDescent="0.25">
      <c r="A599" s="6" t="s">
        <v>434</v>
      </c>
      <c r="B599" s="6">
        <v>25</v>
      </c>
      <c r="C599" s="6">
        <v>397</v>
      </c>
      <c r="D599" s="6">
        <v>27</v>
      </c>
      <c r="E599" s="6">
        <v>3</v>
      </c>
      <c r="F599" s="7">
        <f t="shared" si="75"/>
        <v>16.541666666666668</v>
      </c>
      <c r="G599" s="6">
        <v>1</v>
      </c>
      <c r="H599" s="6">
        <v>1</v>
      </c>
      <c r="I599" s="7">
        <f t="shared" si="76"/>
        <v>1</v>
      </c>
      <c r="J599" s="6"/>
      <c r="K599" s="6"/>
      <c r="L599" s="6"/>
      <c r="M599" s="6"/>
      <c r="N599" s="6"/>
      <c r="O599" s="6"/>
      <c r="P599" s="7"/>
      <c r="Q599" s="6"/>
      <c r="R599" s="6"/>
      <c r="S599" s="7"/>
      <c r="T599" s="6"/>
      <c r="Y599" s="11"/>
      <c r="AA599" s="6"/>
      <c r="AB599" s="11"/>
    </row>
    <row r="600" spans="1:31" x14ac:dyDescent="0.25">
      <c r="A600" s="6" t="s">
        <v>435</v>
      </c>
      <c r="B600" s="6">
        <v>81</v>
      </c>
      <c r="C600" s="6">
        <v>1535</v>
      </c>
      <c r="D600" s="6">
        <v>109</v>
      </c>
      <c r="E600" s="6">
        <v>6</v>
      </c>
      <c r="F600" s="7">
        <f t="shared" si="75"/>
        <v>14.902912621359222</v>
      </c>
      <c r="G600" s="6">
        <v>10</v>
      </c>
      <c r="H600" s="6">
        <v>236</v>
      </c>
      <c r="I600" s="7">
        <f t="shared" si="76"/>
        <v>23.6</v>
      </c>
      <c r="J600" s="6"/>
      <c r="K600" s="6"/>
      <c r="L600" s="6">
        <v>1</v>
      </c>
      <c r="M600" s="6">
        <v>10</v>
      </c>
      <c r="N600" s="6">
        <v>1</v>
      </c>
      <c r="O600" s="6"/>
      <c r="P600" s="7">
        <f t="shared" si="69"/>
        <v>10</v>
      </c>
      <c r="Q600" s="6">
        <v>1</v>
      </c>
      <c r="R600" s="6">
        <v>13</v>
      </c>
      <c r="S600" s="7">
        <f t="shared" si="70"/>
        <v>13</v>
      </c>
      <c r="T600" s="6"/>
      <c r="Y600" s="11"/>
      <c r="AB600" s="11"/>
      <c r="AD600" s="6"/>
      <c r="AE600" s="8" t="s">
        <v>436</v>
      </c>
    </row>
    <row r="601" spans="1:31" x14ac:dyDescent="0.25">
      <c r="A601" s="6" t="s">
        <v>858</v>
      </c>
      <c r="B601" s="6">
        <v>1</v>
      </c>
      <c r="C601" s="6"/>
      <c r="D601" s="6">
        <v>1</v>
      </c>
      <c r="E601" s="6"/>
      <c r="F601" s="7"/>
      <c r="G601" s="6"/>
      <c r="H601" s="6"/>
      <c r="I601" s="7"/>
      <c r="J601" s="6"/>
      <c r="K601" s="6"/>
      <c r="L601" s="6"/>
      <c r="M601" s="6"/>
      <c r="N601" s="6"/>
      <c r="O601" s="6"/>
      <c r="P601" s="7"/>
      <c r="Q601" s="6"/>
      <c r="R601" s="6"/>
      <c r="S601" s="7"/>
      <c r="T601" s="6"/>
      <c r="Y601" s="11"/>
      <c r="AA601" s="6"/>
      <c r="AB601" s="11"/>
    </row>
    <row r="602" spans="1:31" x14ac:dyDescent="0.25">
      <c r="A602" s="6" t="s">
        <v>891</v>
      </c>
      <c r="B602" s="6">
        <v>1</v>
      </c>
      <c r="C602" s="6"/>
      <c r="D602" s="6">
        <v>1</v>
      </c>
      <c r="E602" s="6"/>
      <c r="F602" s="7"/>
      <c r="G602" s="6"/>
      <c r="H602" s="6"/>
      <c r="I602" s="7"/>
      <c r="J602" s="6"/>
      <c r="K602" s="6"/>
      <c r="L602" s="6"/>
      <c r="M602" s="6"/>
      <c r="N602" s="6"/>
      <c r="O602" s="6"/>
      <c r="P602" s="7"/>
      <c r="Q602" s="6"/>
      <c r="R602" s="6"/>
      <c r="S602" s="7"/>
      <c r="T602" s="6"/>
      <c r="Y602" s="11"/>
      <c r="AA602" s="6"/>
      <c r="AB602" s="11"/>
    </row>
    <row r="603" spans="1:31" x14ac:dyDescent="0.25">
      <c r="A603" s="6" t="s">
        <v>437</v>
      </c>
      <c r="B603" s="6">
        <v>31</v>
      </c>
      <c r="C603" s="6">
        <v>418</v>
      </c>
      <c r="D603" s="6">
        <v>30</v>
      </c>
      <c r="E603" s="6">
        <v>1</v>
      </c>
      <c r="F603" s="7">
        <f t="shared" si="75"/>
        <v>14.413793103448276</v>
      </c>
      <c r="G603" s="6">
        <v>41</v>
      </c>
      <c r="H603" s="6">
        <v>787</v>
      </c>
      <c r="I603" s="7">
        <f t="shared" si="76"/>
        <v>19.195121951219512</v>
      </c>
      <c r="J603" s="6"/>
      <c r="K603" s="6"/>
      <c r="L603" s="6"/>
      <c r="M603" s="6"/>
      <c r="N603" s="6"/>
      <c r="O603" s="6"/>
      <c r="P603" s="7"/>
      <c r="Q603" s="6"/>
      <c r="R603" s="6"/>
      <c r="S603" s="7"/>
      <c r="T603" s="6"/>
      <c r="Y603" s="11"/>
      <c r="AA603" s="6"/>
      <c r="AB603" s="11"/>
    </row>
    <row r="604" spans="1:31" x14ac:dyDescent="0.25">
      <c r="A604" s="6" t="s">
        <v>925</v>
      </c>
      <c r="B604" s="6">
        <v>138.5</v>
      </c>
      <c r="C604" s="6">
        <v>1507</v>
      </c>
      <c r="D604" s="6">
        <v>124</v>
      </c>
      <c r="E604" s="6">
        <v>32</v>
      </c>
      <c r="F604" s="7">
        <f t="shared" si="75"/>
        <v>16.380434782608695</v>
      </c>
      <c r="G604" s="6">
        <v>48</v>
      </c>
      <c r="H604" s="6">
        <v>1283</v>
      </c>
      <c r="I604" s="7">
        <f t="shared" si="76"/>
        <v>26.729166666666668</v>
      </c>
      <c r="J604" s="6"/>
      <c r="K604" s="6"/>
      <c r="L604" s="6"/>
      <c r="M604" s="6"/>
      <c r="N604" s="6"/>
      <c r="O604" s="6"/>
      <c r="P604" s="7"/>
      <c r="Q604" s="6"/>
      <c r="R604" s="6"/>
      <c r="S604" s="7"/>
      <c r="T604" s="6"/>
      <c r="U604" s="13">
        <v>20</v>
      </c>
      <c r="V604" s="13">
        <v>262</v>
      </c>
      <c r="W604" s="13">
        <v>19</v>
      </c>
      <c r="X604" s="13">
        <v>5</v>
      </c>
      <c r="Y604" s="11">
        <f t="shared" ref="Y604:Y616" si="78">(V604)/(W604-X604)</f>
        <v>18.714285714285715</v>
      </c>
      <c r="Z604" s="13">
        <v>1</v>
      </c>
      <c r="AA604" s="13">
        <v>26</v>
      </c>
      <c r="AB604" s="11">
        <f t="shared" si="77"/>
        <v>26</v>
      </c>
      <c r="AE604" s="8" t="s">
        <v>1162</v>
      </c>
    </row>
    <row r="605" spans="1:31" x14ac:dyDescent="0.25">
      <c r="A605" s="6" t="s">
        <v>438</v>
      </c>
      <c r="B605" s="6">
        <v>44.5</v>
      </c>
      <c r="C605" s="6">
        <v>411</v>
      </c>
      <c r="D605" s="6">
        <v>35</v>
      </c>
      <c r="E605" s="6">
        <v>1</v>
      </c>
      <c r="F605" s="7">
        <f t="shared" si="75"/>
        <v>12.088235294117647</v>
      </c>
      <c r="G605" s="6">
        <v>32</v>
      </c>
      <c r="H605" s="6">
        <v>995</v>
      </c>
      <c r="I605" s="7">
        <f t="shared" si="76"/>
        <v>31.09375</v>
      </c>
      <c r="J605" s="6"/>
      <c r="K605" s="6"/>
      <c r="L605" s="6">
        <v>7</v>
      </c>
      <c r="M605" s="6">
        <v>146</v>
      </c>
      <c r="N605" s="6">
        <v>7</v>
      </c>
      <c r="O605" s="6">
        <v>1</v>
      </c>
      <c r="P605" s="7">
        <f t="shared" si="69"/>
        <v>24.333333333333332</v>
      </c>
      <c r="Q605" s="6">
        <v>10</v>
      </c>
      <c r="R605" s="6">
        <v>178</v>
      </c>
      <c r="S605" s="7">
        <f t="shared" si="70"/>
        <v>17.8</v>
      </c>
      <c r="T605" s="6"/>
      <c r="Y605" s="11"/>
      <c r="AB605" s="11"/>
      <c r="AD605" s="6"/>
      <c r="AE605" s="8" t="s">
        <v>974</v>
      </c>
    </row>
    <row r="606" spans="1:31" x14ac:dyDescent="0.25">
      <c r="A606" s="6" t="s">
        <v>671</v>
      </c>
      <c r="B606" s="14">
        <v>129</v>
      </c>
      <c r="C606" s="6">
        <v>378</v>
      </c>
      <c r="D606" s="6">
        <v>112</v>
      </c>
      <c r="E606" s="6">
        <v>18</v>
      </c>
      <c r="F606" s="7">
        <f t="shared" si="75"/>
        <v>4.0212765957446805</v>
      </c>
      <c r="G606" s="6">
        <v>91</v>
      </c>
      <c r="H606" s="6">
        <v>2272</v>
      </c>
      <c r="I606" s="7">
        <f t="shared" si="76"/>
        <v>24.967032967032967</v>
      </c>
      <c r="J606" s="6"/>
      <c r="K606" s="6"/>
      <c r="L606" s="6">
        <v>19</v>
      </c>
      <c r="M606" s="6">
        <v>275</v>
      </c>
      <c r="N606" s="6">
        <v>14</v>
      </c>
      <c r="O606" s="6">
        <v>2</v>
      </c>
      <c r="P606" s="7">
        <f t="shared" si="69"/>
        <v>22.916666666666668</v>
      </c>
      <c r="Q606" s="6">
        <v>18</v>
      </c>
      <c r="R606" s="6">
        <v>473</v>
      </c>
      <c r="S606" s="7">
        <f t="shared" si="70"/>
        <v>26.277777777777779</v>
      </c>
      <c r="T606" s="6"/>
      <c r="U606" s="6">
        <v>1</v>
      </c>
      <c r="V606" s="6">
        <v>4</v>
      </c>
      <c r="W606" s="6">
        <v>1</v>
      </c>
      <c r="X606" s="6">
        <v>1</v>
      </c>
      <c r="Y606" s="11"/>
      <c r="Z606" s="6"/>
      <c r="AA606" s="6">
        <v>12</v>
      </c>
      <c r="AB606" s="11"/>
      <c r="AC606" s="6"/>
      <c r="AD606" s="6"/>
      <c r="AE606" s="8" t="s">
        <v>1002</v>
      </c>
    </row>
    <row r="607" spans="1:31" x14ac:dyDescent="0.25">
      <c r="A607" s="6" t="s">
        <v>828</v>
      </c>
      <c r="B607" s="6">
        <v>3</v>
      </c>
      <c r="C607" s="6">
        <v>32</v>
      </c>
      <c r="D607" s="6">
        <v>1</v>
      </c>
      <c r="E607" s="6"/>
      <c r="F607" s="7">
        <f t="shared" si="75"/>
        <v>32</v>
      </c>
      <c r="G607" s="6"/>
      <c r="H607" s="6">
        <v>35</v>
      </c>
      <c r="I607" s="10" t="s">
        <v>804</v>
      </c>
      <c r="J607" s="6"/>
      <c r="K607" s="6"/>
      <c r="L607" s="6">
        <v>1</v>
      </c>
      <c r="M607" s="6"/>
      <c r="N607" s="6"/>
      <c r="O607" s="6"/>
      <c r="P607" s="7"/>
      <c r="Q607" s="6"/>
      <c r="R607" s="6">
        <v>10</v>
      </c>
      <c r="S607" s="10"/>
      <c r="T607" s="6"/>
      <c r="Y607" s="11"/>
      <c r="AD607" s="6"/>
      <c r="AE607" s="8" t="s">
        <v>892</v>
      </c>
    </row>
    <row r="608" spans="1:31" x14ac:dyDescent="0.25">
      <c r="A608" s="6" t="s">
        <v>1163</v>
      </c>
      <c r="B608" s="6">
        <v>1</v>
      </c>
      <c r="C608" s="6">
        <v>29</v>
      </c>
      <c r="D608" s="6">
        <v>1</v>
      </c>
      <c r="E608" s="6"/>
      <c r="F608" s="7">
        <f t="shared" si="75"/>
        <v>29</v>
      </c>
      <c r="G608" s="6">
        <v>1</v>
      </c>
      <c r="H608" s="6">
        <v>28</v>
      </c>
      <c r="I608" s="7">
        <f t="shared" si="76"/>
        <v>28</v>
      </c>
      <c r="J608" s="6"/>
      <c r="K608" s="6"/>
      <c r="L608" s="6"/>
      <c r="M608" s="6"/>
      <c r="N608" s="6"/>
      <c r="O608" s="6"/>
      <c r="P608" s="7"/>
      <c r="Q608" s="6"/>
      <c r="R608" s="6"/>
      <c r="S608" s="10"/>
      <c r="T608" s="6"/>
      <c r="Y608" s="11"/>
      <c r="AD608" s="6"/>
      <c r="AE608" s="8" t="s">
        <v>1028</v>
      </c>
    </row>
    <row r="609" spans="1:31" x14ac:dyDescent="0.25">
      <c r="A609" s="6" t="s">
        <v>1164</v>
      </c>
      <c r="B609" s="6">
        <v>1</v>
      </c>
      <c r="C609" s="6"/>
      <c r="D609" s="6"/>
      <c r="E609" s="6"/>
      <c r="F609" s="7"/>
      <c r="G609" s="6">
        <v>1</v>
      </c>
      <c r="H609" s="6">
        <v>28</v>
      </c>
      <c r="I609" s="7">
        <f t="shared" si="76"/>
        <v>28</v>
      </c>
      <c r="J609" s="6"/>
      <c r="K609" s="6"/>
      <c r="L609" s="6"/>
      <c r="M609" s="6"/>
      <c r="N609" s="6"/>
      <c r="O609" s="6"/>
      <c r="P609" s="7"/>
      <c r="Q609" s="6"/>
      <c r="R609" s="6"/>
      <c r="S609" s="10"/>
      <c r="T609" s="6"/>
      <c r="Y609" s="11"/>
      <c r="AD609" s="6"/>
      <c r="AE609" s="8" t="s">
        <v>1165</v>
      </c>
    </row>
    <row r="610" spans="1:31" x14ac:dyDescent="0.25">
      <c r="A610" s="6" t="s">
        <v>439</v>
      </c>
      <c r="B610" s="6">
        <v>2</v>
      </c>
      <c r="C610" s="6">
        <v>4</v>
      </c>
      <c r="D610" s="6">
        <v>3</v>
      </c>
      <c r="E610" s="6">
        <v>1</v>
      </c>
      <c r="F610" s="7">
        <f t="shared" si="75"/>
        <v>2</v>
      </c>
      <c r="G610" s="6"/>
      <c r="H610" s="6">
        <v>19</v>
      </c>
      <c r="I610" s="7"/>
      <c r="J610" s="6"/>
      <c r="K610" s="6"/>
      <c r="L610" s="6"/>
      <c r="M610" s="6"/>
      <c r="N610" s="6"/>
      <c r="O610" s="6"/>
      <c r="P610" s="7"/>
      <c r="Q610" s="6"/>
      <c r="R610" s="6"/>
      <c r="S610" s="7"/>
      <c r="T610" s="6"/>
      <c r="Y610" s="11"/>
      <c r="AA610" s="6"/>
      <c r="AB610" s="8"/>
    </row>
    <row r="611" spans="1:31" x14ac:dyDescent="0.25">
      <c r="A611" s="6" t="s">
        <v>440</v>
      </c>
      <c r="B611" s="6">
        <v>8</v>
      </c>
      <c r="C611" s="6">
        <v>117</v>
      </c>
      <c r="D611" s="6">
        <v>11</v>
      </c>
      <c r="E611" s="6">
        <v>1</v>
      </c>
      <c r="F611" s="7">
        <f t="shared" si="75"/>
        <v>11.7</v>
      </c>
      <c r="G611" s="6">
        <v>1</v>
      </c>
      <c r="H611" s="6">
        <v>103</v>
      </c>
      <c r="I611" s="7">
        <f t="shared" si="76"/>
        <v>103</v>
      </c>
      <c r="J611" s="6"/>
      <c r="K611" s="6"/>
      <c r="L611" s="6"/>
      <c r="M611" s="6"/>
      <c r="N611" s="6"/>
      <c r="O611" s="6"/>
      <c r="P611" s="7"/>
      <c r="Q611" s="6"/>
      <c r="R611" s="6"/>
      <c r="S611" s="7"/>
      <c r="T611" s="6"/>
      <c r="Y611" s="11"/>
      <c r="AA611" s="6"/>
      <c r="AB611" s="8"/>
    </row>
    <row r="612" spans="1:31" x14ac:dyDescent="0.25">
      <c r="A612" s="6" t="s">
        <v>625</v>
      </c>
      <c r="B612" s="6">
        <v>33</v>
      </c>
      <c r="C612" s="6">
        <v>541</v>
      </c>
      <c r="D612" s="6">
        <v>35</v>
      </c>
      <c r="E612" s="6">
        <v>11</v>
      </c>
      <c r="F612" s="7">
        <f t="shared" si="75"/>
        <v>22.541666666666668</v>
      </c>
      <c r="G612" s="6">
        <v>24</v>
      </c>
      <c r="H612" s="6">
        <v>825</v>
      </c>
      <c r="I612" s="7">
        <f t="shared" si="76"/>
        <v>34.375</v>
      </c>
      <c r="J612" s="6"/>
      <c r="K612" s="6"/>
      <c r="L612" s="6">
        <v>52</v>
      </c>
      <c r="M612" s="6">
        <v>492</v>
      </c>
      <c r="N612" s="6">
        <v>32</v>
      </c>
      <c r="O612" s="6">
        <v>11</v>
      </c>
      <c r="P612" s="7">
        <f t="shared" si="69"/>
        <v>23.428571428571427</v>
      </c>
      <c r="Q612" s="6">
        <v>24</v>
      </c>
      <c r="R612" s="6">
        <v>805</v>
      </c>
      <c r="S612" s="7">
        <f t="shared" si="70"/>
        <v>33.541666666666664</v>
      </c>
      <c r="T612" s="6"/>
      <c r="Y612" s="11"/>
      <c r="AD612" s="6"/>
      <c r="AE612" s="8" t="s">
        <v>761</v>
      </c>
    </row>
    <row r="613" spans="1:31" x14ac:dyDescent="0.25">
      <c r="A613" s="6" t="s">
        <v>441</v>
      </c>
      <c r="B613" s="6">
        <v>21.5</v>
      </c>
      <c r="C613" s="6">
        <v>60</v>
      </c>
      <c r="D613" s="6">
        <v>15</v>
      </c>
      <c r="E613" s="6">
        <v>5</v>
      </c>
      <c r="F613" s="7">
        <f t="shared" si="75"/>
        <v>6</v>
      </c>
      <c r="G613" s="6">
        <v>5</v>
      </c>
      <c r="H613" s="6">
        <v>166</v>
      </c>
      <c r="I613" s="7">
        <f t="shared" si="76"/>
        <v>33.200000000000003</v>
      </c>
      <c r="J613" s="6"/>
      <c r="K613" s="6"/>
      <c r="L613" s="6">
        <v>29</v>
      </c>
      <c r="M613" s="6">
        <v>60</v>
      </c>
      <c r="N613" s="6">
        <v>15</v>
      </c>
      <c r="O613" s="6">
        <v>5</v>
      </c>
      <c r="P613" s="7">
        <f t="shared" si="69"/>
        <v>6</v>
      </c>
      <c r="Q613" s="6">
        <v>5</v>
      </c>
      <c r="R613" s="6">
        <v>166</v>
      </c>
      <c r="S613" s="7">
        <f t="shared" si="70"/>
        <v>33.200000000000003</v>
      </c>
      <c r="T613" s="6"/>
      <c r="Y613" s="11"/>
      <c r="AD613" s="6"/>
      <c r="AE613" s="8" t="s">
        <v>672</v>
      </c>
    </row>
    <row r="614" spans="1:31" x14ac:dyDescent="0.25">
      <c r="A614" s="6" t="s">
        <v>442</v>
      </c>
      <c r="B614" s="6">
        <v>10</v>
      </c>
      <c r="C614" s="6">
        <v>66</v>
      </c>
      <c r="D614" s="6">
        <v>6</v>
      </c>
      <c r="E614" s="6">
        <v>1</v>
      </c>
      <c r="F614" s="7">
        <f t="shared" si="75"/>
        <v>13.2</v>
      </c>
      <c r="G614" s="6">
        <v>2</v>
      </c>
      <c r="H614" s="6">
        <v>13</v>
      </c>
      <c r="I614" s="7">
        <f t="shared" si="76"/>
        <v>6.5</v>
      </c>
      <c r="J614" s="6"/>
      <c r="K614" s="6"/>
      <c r="L614" s="6"/>
      <c r="M614" s="6"/>
      <c r="N614" s="6"/>
      <c r="O614" s="6"/>
      <c r="P614" s="7"/>
      <c r="Q614" s="6"/>
      <c r="R614" s="6"/>
      <c r="S614" s="7"/>
      <c r="T614" s="6"/>
      <c r="Y614" s="11"/>
      <c r="AA614" s="6"/>
      <c r="AB614" s="8"/>
    </row>
    <row r="615" spans="1:31" x14ac:dyDescent="0.25">
      <c r="A615" s="6" t="s">
        <v>626</v>
      </c>
      <c r="B615" s="6">
        <v>15</v>
      </c>
      <c r="C615" s="6">
        <v>575</v>
      </c>
      <c r="D615" s="6">
        <v>17</v>
      </c>
      <c r="E615" s="6"/>
      <c r="F615" s="7">
        <f t="shared" si="75"/>
        <v>33.823529411764703</v>
      </c>
      <c r="G615" s="6">
        <v>2</v>
      </c>
      <c r="H615" s="6">
        <v>38</v>
      </c>
      <c r="I615" s="7">
        <f t="shared" si="76"/>
        <v>19</v>
      </c>
      <c r="J615" s="6"/>
      <c r="K615" s="6"/>
      <c r="L615" s="6"/>
      <c r="M615" s="6"/>
      <c r="N615" s="6"/>
      <c r="O615" s="6"/>
      <c r="P615" s="7"/>
      <c r="Q615" s="6"/>
      <c r="R615" s="6"/>
      <c r="S615" s="7"/>
      <c r="T615" s="6"/>
      <c r="Y615" s="11"/>
      <c r="AA615" s="6"/>
      <c r="AB615" s="8"/>
    </row>
    <row r="616" spans="1:31" x14ac:dyDescent="0.25">
      <c r="A616" s="6" t="s">
        <v>1065</v>
      </c>
      <c r="B616" s="6">
        <v>19</v>
      </c>
      <c r="C616" s="6">
        <v>578</v>
      </c>
      <c r="D616" s="6">
        <v>22</v>
      </c>
      <c r="E616" s="6">
        <v>2</v>
      </c>
      <c r="F616" s="7">
        <f t="shared" si="75"/>
        <v>28.9</v>
      </c>
      <c r="G616" s="6">
        <v>1</v>
      </c>
      <c r="H616" s="6">
        <v>42</v>
      </c>
      <c r="I616" s="7">
        <f t="shared" si="76"/>
        <v>42</v>
      </c>
      <c r="J616" s="6"/>
      <c r="K616" s="6"/>
      <c r="L616" s="6"/>
      <c r="M616" s="6"/>
      <c r="N616" s="6"/>
      <c r="O616" s="6"/>
      <c r="P616" s="7"/>
      <c r="Q616" s="6"/>
      <c r="R616" s="6"/>
      <c r="S616" s="7"/>
      <c r="T616" s="6"/>
      <c r="U616" s="1">
        <v>6</v>
      </c>
      <c r="V616" s="1">
        <v>58</v>
      </c>
      <c r="W616" s="1">
        <v>6</v>
      </c>
      <c r="X616">
        <v>1</v>
      </c>
      <c r="Y616" s="11">
        <f t="shared" si="78"/>
        <v>11.6</v>
      </c>
      <c r="AA616" s="6"/>
      <c r="AB616" s="8">
        <v>11</v>
      </c>
      <c r="AE616" s="1" t="s">
        <v>1066</v>
      </c>
    </row>
    <row r="617" spans="1:31" x14ac:dyDescent="0.25">
      <c r="A617" s="6" t="s">
        <v>443</v>
      </c>
      <c r="B617" s="6">
        <v>4</v>
      </c>
      <c r="C617" s="6">
        <v>42</v>
      </c>
      <c r="D617" s="6">
        <v>4</v>
      </c>
      <c r="E617" s="6"/>
      <c r="F617" s="7">
        <f t="shared" si="75"/>
        <v>10.5</v>
      </c>
      <c r="G617" s="6">
        <v>11</v>
      </c>
      <c r="H617" s="6">
        <v>120</v>
      </c>
      <c r="I617" s="7">
        <f t="shared" si="76"/>
        <v>10.909090909090908</v>
      </c>
      <c r="J617" s="6"/>
      <c r="K617" s="6"/>
      <c r="L617" s="6"/>
      <c r="M617" s="6"/>
      <c r="N617" s="6"/>
      <c r="O617" s="6"/>
      <c r="P617" s="7"/>
      <c r="Q617" s="6"/>
      <c r="R617" s="6"/>
      <c r="S617" s="7"/>
      <c r="T617" s="6"/>
      <c r="AA617" s="6"/>
      <c r="AB617" s="8"/>
    </row>
    <row r="618" spans="1:31" x14ac:dyDescent="0.25">
      <c r="A618" s="6" t="s">
        <v>444</v>
      </c>
      <c r="B618" s="6">
        <v>16.5</v>
      </c>
      <c r="C618" s="6">
        <v>176</v>
      </c>
      <c r="D618" s="6">
        <v>18</v>
      </c>
      <c r="E618" s="6">
        <v>7</v>
      </c>
      <c r="F618" s="7">
        <f t="shared" si="75"/>
        <v>16</v>
      </c>
      <c r="G618" s="6">
        <v>4</v>
      </c>
      <c r="H618" s="6">
        <v>80</v>
      </c>
      <c r="I618" s="7">
        <f t="shared" si="76"/>
        <v>20</v>
      </c>
      <c r="J618" s="6"/>
      <c r="K618" s="6"/>
      <c r="L618" s="6"/>
      <c r="M618" s="6"/>
      <c r="N618" s="6"/>
      <c r="O618" s="6"/>
      <c r="P618" s="7"/>
      <c r="Q618" s="6"/>
      <c r="R618" s="6"/>
      <c r="S618" s="7"/>
      <c r="T618" s="6"/>
      <c r="AA618" s="6"/>
      <c r="AB618" s="8">
        <v>11</v>
      </c>
      <c r="AE618" s="8" t="s">
        <v>1166</v>
      </c>
    </row>
    <row r="619" spans="1:31" x14ac:dyDescent="0.25">
      <c r="A619" s="6" t="s">
        <v>762</v>
      </c>
      <c r="B619" s="6">
        <v>6</v>
      </c>
      <c r="C619" s="6">
        <v>28</v>
      </c>
      <c r="D619" s="6">
        <v>7</v>
      </c>
      <c r="E619" s="6">
        <v>1</v>
      </c>
      <c r="F619" s="7">
        <f t="shared" si="75"/>
        <v>4.666666666666667</v>
      </c>
      <c r="G619" s="6">
        <v>1</v>
      </c>
      <c r="H619" s="6">
        <v>46</v>
      </c>
      <c r="I619" s="7">
        <f t="shared" si="76"/>
        <v>46</v>
      </c>
      <c r="J619" s="6"/>
      <c r="K619" s="6"/>
      <c r="L619" s="6">
        <v>8</v>
      </c>
      <c r="M619" s="6">
        <v>28</v>
      </c>
      <c r="N619" s="6">
        <v>7</v>
      </c>
      <c r="O619" s="6">
        <v>1</v>
      </c>
      <c r="P619" s="7">
        <f t="shared" ref="P619" si="79">(M619/(N619-O619))</f>
        <v>4.666666666666667</v>
      </c>
      <c r="Q619" s="6">
        <v>1</v>
      </c>
      <c r="R619" s="6">
        <v>46</v>
      </c>
      <c r="S619" s="7">
        <f t="shared" ref="S619" si="80">(R619/Q619)</f>
        <v>46</v>
      </c>
      <c r="T619" s="6"/>
      <c r="AD619" s="6"/>
      <c r="AE619" s="8" t="s">
        <v>829</v>
      </c>
    </row>
    <row r="620" spans="1:31" x14ac:dyDescent="0.25">
      <c r="A620" s="6" t="s">
        <v>445</v>
      </c>
      <c r="B620" s="6">
        <v>110</v>
      </c>
      <c r="C620" s="6">
        <v>1281</v>
      </c>
      <c r="D620" s="6">
        <v>94</v>
      </c>
      <c r="E620" s="6">
        <v>23</v>
      </c>
      <c r="F620" s="7">
        <f t="shared" si="75"/>
        <v>18.04225352112676</v>
      </c>
      <c r="G620" s="6">
        <v>209</v>
      </c>
      <c r="H620" s="6">
        <v>2673</v>
      </c>
      <c r="I620" s="7">
        <f t="shared" si="76"/>
        <v>12.789473684210526</v>
      </c>
      <c r="J620" s="6"/>
      <c r="K620" s="6"/>
      <c r="L620" s="6"/>
      <c r="M620" s="6"/>
      <c r="N620" s="6"/>
      <c r="O620" s="6"/>
      <c r="P620" s="7"/>
      <c r="Q620" s="6"/>
      <c r="R620" s="6"/>
      <c r="S620" s="7"/>
      <c r="T620" s="6"/>
      <c r="AA620" s="6"/>
      <c r="AB620" s="8"/>
    </row>
    <row r="621" spans="1:31" x14ac:dyDescent="0.25">
      <c r="A621" s="6" t="s">
        <v>446</v>
      </c>
      <c r="B621" s="6">
        <v>75</v>
      </c>
      <c r="C621" s="6">
        <v>1166</v>
      </c>
      <c r="D621" s="6">
        <v>74</v>
      </c>
      <c r="E621" s="6">
        <v>8</v>
      </c>
      <c r="F621" s="7">
        <f t="shared" si="75"/>
        <v>17.666666666666668</v>
      </c>
      <c r="G621" s="6">
        <v>1</v>
      </c>
      <c r="H621" s="6">
        <v>22</v>
      </c>
      <c r="I621" s="7">
        <f t="shared" si="76"/>
        <v>22</v>
      </c>
      <c r="J621" s="6"/>
      <c r="K621" s="6"/>
      <c r="L621" s="6"/>
      <c r="M621" s="6"/>
      <c r="N621" s="6"/>
      <c r="O621" s="6"/>
      <c r="P621" s="7"/>
      <c r="Q621" s="6"/>
      <c r="R621" s="6"/>
      <c r="S621" s="7"/>
      <c r="T621" s="6"/>
      <c r="AA621" s="6"/>
      <c r="AB621" s="8"/>
    </row>
    <row r="622" spans="1:31" x14ac:dyDescent="0.25">
      <c r="A622" s="6" t="s">
        <v>447</v>
      </c>
      <c r="B622" s="6">
        <v>115</v>
      </c>
      <c r="C622" s="6">
        <v>2692</v>
      </c>
      <c r="D622" s="6">
        <v>124</v>
      </c>
      <c r="E622" s="6">
        <v>28</v>
      </c>
      <c r="F622" s="7">
        <f t="shared" si="75"/>
        <v>28.041666666666668</v>
      </c>
      <c r="G622" s="6">
        <v>67</v>
      </c>
      <c r="H622" s="6">
        <v>1157</v>
      </c>
      <c r="I622" s="7">
        <f t="shared" si="76"/>
        <v>17.268656716417912</v>
      </c>
      <c r="J622" s="6"/>
      <c r="K622" s="6"/>
      <c r="L622" s="6"/>
      <c r="M622" s="6"/>
      <c r="N622" s="6"/>
      <c r="O622" s="6"/>
      <c r="P622" s="7"/>
      <c r="Q622" s="6"/>
      <c r="R622" s="6"/>
      <c r="S622" s="7"/>
      <c r="T622" s="6"/>
      <c r="AA622" s="6"/>
      <c r="AB622" s="8"/>
    </row>
    <row r="623" spans="1:31" x14ac:dyDescent="0.25">
      <c r="A623" s="6" t="s">
        <v>448</v>
      </c>
      <c r="B623" s="6">
        <v>75</v>
      </c>
      <c r="C623" s="6">
        <v>1219</v>
      </c>
      <c r="D623" s="6">
        <v>87</v>
      </c>
      <c r="E623" s="6">
        <v>12</v>
      </c>
      <c r="F623" s="7">
        <f t="shared" si="75"/>
        <v>16.253333333333334</v>
      </c>
      <c r="G623" s="6">
        <v>2</v>
      </c>
      <c r="H623" s="6">
        <v>61</v>
      </c>
      <c r="I623" s="7">
        <f t="shared" si="76"/>
        <v>30.5</v>
      </c>
      <c r="J623" s="6"/>
      <c r="K623" s="6"/>
      <c r="L623" s="6"/>
      <c r="M623" s="6"/>
      <c r="N623" s="6"/>
      <c r="O623" s="6"/>
      <c r="P623" s="7"/>
      <c r="Q623" s="6"/>
      <c r="R623" s="6"/>
      <c r="S623" s="7"/>
      <c r="T623" s="6"/>
      <c r="AA623" s="6"/>
      <c r="AB623" s="8"/>
    </row>
    <row r="624" spans="1:31" x14ac:dyDescent="0.25">
      <c r="A624" s="6" t="s">
        <v>449</v>
      </c>
      <c r="B624" s="6">
        <v>21</v>
      </c>
      <c r="C624" s="6">
        <v>217</v>
      </c>
      <c r="D624" s="6">
        <v>15</v>
      </c>
      <c r="E624" s="6">
        <v>3</v>
      </c>
      <c r="F624" s="7">
        <f t="shared" si="75"/>
        <v>18.083333333333332</v>
      </c>
      <c r="G624" s="6">
        <v>47</v>
      </c>
      <c r="H624" s="6">
        <v>600</v>
      </c>
      <c r="I624" s="7">
        <f t="shared" si="76"/>
        <v>12.76595744680851</v>
      </c>
      <c r="J624" s="6"/>
      <c r="K624" s="6"/>
      <c r="L624" s="6"/>
      <c r="M624" s="6"/>
      <c r="N624" s="6"/>
      <c r="O624" s="6"/>
      <c r="P624" s="7"/>
      <c r="Q624" s="6"/>
      <c r="R624" s="6"/>
      <c r="S624" s="7"/>
      <c r="T624" s="6"/>
      <c r="AA624" s="6"/>
      <c r="AB624" s="8"/>
    </row>
    <row r="625" spans="1:31" x14ac:dyDescent="0.25">
      <c r="A625" s="6" t="s">
        <v>450</v>
      </c>
      <c r="B625" s="6">
        <v>1</v>
      </c>
      <c r="C625" s="6">
        <v>11</v>
      </c>
      <c r="D625" s="6">
        <v>1</v>
      </c>
      <c r="E625" s="6"/>
      <c r="F625" s="7">
        <f t="shared" si="75"/>
        <v>11</v>
      </c>
      <c r="G625" s="6"/>
      <c r="H625" s="6"/>
      <c r="I625" s="7"/>
      <c r="J625" s="6"/>
      <c r="K625" s="6"/>
      <c r="L625" s="6">
        <v>1</v>
      </c>
      <c r="M625" s="6">
        <v>11</v>
      </c>
      <c r="N625" s="6">
        <v>1</v>
      </c>
      <c r="O625" s="6"/>
      <c r="P625" s="7">
        <f t="shared" ref="P625:P705" si="81">(M625/(N625-O625))</f>
        <v>11</v>
      </c>
      <c r="Q625" s="6"/>
      <c r="R625" s="6"/>
      <c r="S625" s="7"/>
      <c r="T625" s="6"/>
      <c r="AD625" s="6"/>
      <c r="AE625" s="8" t="s">
        <v>23</v>
      </c>
    </row>
    <row r="626" spans="1:31" x14ac:dyDescent="0.25">
      <c r="A626" s="6" t="s">
        <v>451</v>
      </c>
      <c r="B626" s="6">
        <v>6</v>
      </c>
      <c r="C626" s="6">
        <v>12</v>
      </c>
      <c r="D626" s="6">
        <v>6</v>
      </c>
      <c r="E626" s="6">
        <v>2</v>
      </c>
      <c r="F626" s="7">
        <f t="shared" si="75"/>
        <v>3</v>
      </c>
      <c r="G626" s="6"/>
      <c r="H626" s="6"/>
      <c r="I626" s="7"/>
      <c r="J626" s="6"/>
      <c r="K626" s="6"/>
      <c r="L626" s="6"/>
      <c r="M626" s="6"/>
      <c r="N626" s="6"/>
      <c r="O626" s="6"/>
      <c r="P626" s="7"/>
      <c r="Q626" s="6"/>
      <c r="R626" s="6"/>
      <c r="S626" s="7"/>
      <c r="T626" s="6"/>
      <c r="AA626" s="6"/>
      <c r="AB626" s="8"/>
    </row>
    <row r="627" spans="1:31" x14ac:dyDescent="0.25">
      <c r="A627" s="6" t="s">
        <v>452</v>
      </c>
      <c r="B627" s="6">
        <v>4</v>
      </c>
      <c r="C627" s="6">
        <v>161</v>
      </c>
      <c r="D627" s="6">
        <v>4</v>
      </c>
      <c r="E627" s="6"/>
      <c r="F627" s="7">
        <f t="shared" si="75"/>
        <v>40.25</v>
      </c>
      <c r="G627" s="6">
        <v>4</v>
      </c>
      <c r="H627" s="6">
        <v>93</v>
      </c>
      <c r="I627" s="7">
        <f t="shared" si="76"/>
        <v>23.25</v>
      </c>
      <c r="J627" s="6"/>
      <c r="K627" s="6"/>
      <c r="L627" s="6"/>
      <c r="M627" s="6"/>
      <c r="N627" s="6"/>
      <c r="O627" s="6"/>
      <c r="P627" s="7"/>
      <c r="Q627" s="6"/>
      <c r="R627" s="6"/>
      <c r="S627" s="7"/>
      <c r="T627" s="6"/>
      <c r="AA627" s="6"/>
      <c r="AB627" s="8"/>
    </row>
    <row r="628" spans="1:31" x14ac:dyDescent="0.25">
      <c r="A628" s="6" t="s">
        <v>453</v>
      </c>
      <c r="B628" s="6">
        <v>9</v>
      </c>
      <c r="C628" s="6">
        <v>122</v>
      </c>
      <c r="D628" s="6">
        <v>9</v>
      </c>
      <c r="E628" s="6">
        <v>1</v>
      </c>
      <c r="F628" s="7">
        <f t="shared" si="75"/>
        <v>15.25</v>
      </c>
      <c r="G628" s="6">
        <v>3</v>
      </c>
      <c r="H628" s="6">
        <v>53</v>
      </c>
      <c r="I628" s="7">
        <f t="shared" si="76"/>
        <v>17.666666666666668</v>
      </c>
      <c r="J628" s="6"/>
      <c r="K628" s="6"/>
      <c r="L628" s="6"/>
      <c r="M628" s="6"/>
      <c r="N628" s="6"/>
      <c r="O628" s="6"/>
      <c r="P628" s="7"/>
      <c r="Q628" s="6"/>
      <c r="R628" s="6"/>
      <c r="S628" s="7"/>
      <c r="T628" s="6"/>
      <c r="AA628" s="6"/>
      <c r="AB628" s="8"/>
    </row>
    <row r="629" spans="1:31" x14ac:dyDescent="0.25">
      <c r="A629" s="6" t="s">
        <v>454</v>
      </c>
      <c r="B629" s="6">
        <v>54</v>
      </c>
      <c r="C629" s="6">
        <v>1625</v>
      </c>
      <c r="D629" s="6">
        <v>62</v>
      </c>
      <c r="E629" s="6">
        <v>7</v>
      </c>
      <c r="F629" s="7">
        <f t="shared" si="75"/>
        <v>29.545454545454547</v>
      </c>
      <c r="G629" s="6">
        <v>68</v>
      </c>
      <c r="H629" s="6">
        <v>1498</v>
      </c>
      <c r="I629" s="7">
        <f t="shared" si="76"/>
        <v>22.029411764705884</v>
      </c>
      <c r="J629" s="6"/>
      <c r="K629" s="6"/>
      <c r="L629" s="6"/>
      <c r="M629" s="6"/>
      <c r="N629" s="6"/>
      <c r="O629" s="6"/>
      <c r="P629" s="7"/>
      <c r="Q629" s="6"/>
      <c r="R629" s="6"/>
      <c r="S629" s="7"/>
      <c r="T629" s="6"/>
      <c r="AA629" s="6"/>
      <c r="AB629" s="8"/>
    </row>
    <row r="630" spans="1:31" x14ac:dyDescent="0.25">
      <c r="A630" s="6" t="s">
        <v>455</v>
      </c>
      <c r="B630" s="6">
        <v>12</v>
      </c>
      <c r="C630" s="6">
        <v>23</v>
      </c>
      <c r="D630" s="6">
        <v>13</v>
      </c>
      <c r="E630" s="6">
        <v>2</v>
      </c>
      <c r="F630" s="7">
        <f t="shared" si="75"/>
        <v>2.0909090909090908</v>
      </c>
      <c r="G630" s="6"/>
      <c r="H630" s="6">
        <v>3</v>
      </c>
      <c r="I630" s="7"/>
      <c r="J630" s="6"/>
      <c r="K630" s="6"/>
      <c r="L630" s="6"/>
      <c r="M630" s="6"/>
      <c r="N630" s="6"/>
      <c r="O630" s="6"/>
      <c r="P630" s="7"/>
      <c r="Q630" s="6"/>
      <c r="R630" s="6"/>
      <c r="S630" s="7"/>
      <c r="T630" s="6"/>
      <c r="AA630" s="6"/>
      <c r="AB630" s="8"/>
    </row>
    <row r="631" spans="1:31" x14ac:dyDescent="0.25">
      <c r="A631" s="6" t="s">
        <v>627</v>
      </c>
      <c r="B631" s="6">
        <v>41</v>
      </c>
      <c r="C631" s="6">
        <v>459</v>
      </c>
      <c r="D631" s="6">
        <v>40</v>
      </c>
      <c r="E631" s="6">
        <v>4</v>
      </c>
      <c r="F631" s="7">
        <f t="shared" si="75"/>
        <v>12.75</v>
      </c>
      <c r="G631" s="6">
        <v>21</v>
      </c>
      <c r="H631" s="6">
        <v>690</v>
      </c>
      <c r="I631" s="7">
        <f t="shared" si="76"/>
        <v>32.857142857142854</v>
      </c>
      <c r="J631" s="6"/>
      <c r="K631" s="6"/>
      <c r="L631" s="6"/>
      <c r="M631" s="6"/>
      <c r="N631" s="6"/>
      <c r="O631" s="6"/>
      <c r="P631" s="7"/>
      <c r="Q631" s="6"/>
      <c r="R631" s="6"/>
      <c r="S631" s="7"/>
      <c r="T631" s="6"/>
      <c r="AA631" s="6"/>
      <c r="AB631" s="8"/>
    </row>
    <row r="632" spans="1:31" x14ac:dyDescent="0.25">
      <c r="A632" s="6" t="s">
        <v>456</v>
      </c>
      <c r="B632" s="6">
        <v>61</v>
      </c>
      <c r="C632" s="6">
        <v>852</v>
      </c>
      <c r="D632" s="6">
        <v>57</v>
      </c>
      <c r="E632" s="6">
        <v>10</v>
      </c>
      <c r="F632" s="7">
        <f t="shared" si="75"/>
        <v>18.127659574468087</v>
      </c>
      <c r="G632" s="6">
        <v>6</v>
      </c>
      <c r="H632" s="6">
        <v>172</v>
      </c>
      <c r="I632" s="7">
        <f t="shared" si="76"/>
        <v>28.666666666666668</v>
      </c>
      <c r="J632" s="6"/>
      <c r="K632" s="6"/>
      <c r="L632" s="6"/>
      <c r="M632" s="6"/>
      <c r="N632" s="6"/>
      <c r="O632" s="6"/>
      <c r="P632" s="7"/>
      <c r="Q632" s="6"/>
      <c r="R632" s="6"/>
      <c r="S632" s="7"/>
      <c r="T632" s="6"/>
      <c r="AA632" s="6"/>
      <c r="AB632" s="8"/>
    </row>
    <row r="633" spans="1:31" x14ac:dyDescent="0.25">
      <c r="A633" s="6" t="s">
        <v>914</v>
      </c>
      <c r="B633" s="6">
        <v>15</v>
      </c>
      <c r="C633" s="6">
        <v>36</v>
      </c>
      <c r="D633" s="6">
        <v>10</v>
      </c>
      <c r="E633" s="6">
        <v>2</v>
      </c>
      <c r="F633" s="6">
        <f t="shared" si="75"/>
        <v>4.5</v>
      </c>
      <c r="G633" s="6">
        <v>18</v>
      </c>
      <c r="H633" s="6">
        <v>423</v>
      </c>
      <c r="I633" s="6">
        <f t="shared" si="76"/>
        <v>23.5</v>
      </c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>
        <v>4</v>
      </c>
      <c r="V633" s="6">
        <v>15</v>
      </c>
      <c r="W633" s="6">
        <v>2</v>
      </c>
      <c r="X633" s="6">
        <v>1</v>
      </c>
      <c r="Y633" s="19">
        <f t="shared" ref="Y633:Y635" si="82">(V633/(W633-X633))</f>
        <v>15</v>
      </c>
      <c r="Z633" s="6">
        <v>2</v>
      </c>
      <c r="AA633" s="6">
        <v>54</v>
      </c>
      <c r="AB633" s="13">
        <f t="shared" ref="AB633:AB635" si="83">AA633/Z633</f>
        <v>27</v>
      </c>
      <c r="AC633" s="6"/>
      <c r="AD633" s="6"/>
      <c r="AE633" s="6" t="s">
        <v>926</v>
      </c>
    </row>
    <row r="634" spans="1:31" x14ac:dyDescent="0.25">
      <c r="A634" s="6" t="s">
        <v>457</v>
      </c>
      <c r="B634" s="6">
        <v>1</v>
      </c>
      <c r="C634" s="6">
        <v>11</v>
      </c>
      <c r="D634" s="6">
        <v>1</v>
      </c>
      <c r="E634" s="6">
        <v>1</v>
      </c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7"/>
      <c r="Q634" s="6"/>
      <c r="R634" s="6"/>
      <c r="S634" s="7"/>
      <c r="T634" s="6"/>
      <c r="Y634" s="19"/>
      <c r="AA634" s="6"/>
      <c r="AB634" s="13"/>
    </row>
    <row r="635" spans="1:31" x14ac:dyDescent="0.25">
      <c r="A635" s="6" t="s">
        <v>1114</v>
      </c>
      <c r="B635" s="6">
        <v>4</v>
      </c>
      <c r="C635" s="6">
        <v>112</v>
      </c>
      <c r="D635" s="6">
        <v>6</v>
      </c>
      <c r="E635" s="6"/>
      <c r="F635" s="6">
        <f t="shared" si="75"/>
        <v>18.666666666666668</v>
      </c>
      <c r="G635" s="6">
        <v>2</v>
      </c>
      <c r="H635" s="6">
        <v>105</v>
      </c>
      <c r="I635" s="6">
        <f t="shared" si="76"/>
        <v>52.5</v>
      </c>
      <c r="J635" s="6"/>
      <c r="K635" s="6"/>
      <c r="L635" s="6"/>
      <c r="M635" s="6"/>
      <c r="N635" s="6"/>
      <c r="O635" s="6"/>
      <c r="P635" s="7"/>
      <c r="Q635" s="6"/>
      <c r="R635" s="6"/>
      <c r="S635" s="7"/>
      <c r="T635" s="6"/>
      <c r="U635" s="1">
        <v>3</v>
      </c>
      <c r="V635" s="1">
        <v>68</v>
      </c>
      <c r="W635" s="1">
        <v>2</v>
      </c>
      <c r="Y635" s="19">
        <f t="shared" si="82"/>
        <v>34</v>
      </c>
      <c r="Z635">
        <v>2</v>
      </c>
      <c r="AA635" s="6">
        <v>87</v>
      </c>
      <c r="AB635" s="13">
        <f t="shared" si="83"/>
        <v>43.5</v>
      </c>
      <c r="AE635" s="8" t="s">
        <v>1167</v>
      </c>
    </row>
    <row r="636" spans="1:31" x14ac:dyDescent="0.25">
      <c r="A636" s="6" t="s">
        <v>458</v>
      </c>
      <c r="B636" s="6">
        <v>5</v>
      </c>
      <c r="C636" s="6">
        <v>17</v>
      </c>
      <c r="D636" s="6">
        <v>3</v>
      </c>
      <c r="E636" s="6">
        <v>2</v>
      </c>
      <c r="F636" s="7">
        <f t="shared" si="75"/>
        <v>17</v>
      </c>
      <c r="G636" s="6">
        <v>12</v>
      </c>
      <c r="H636" s="6">
        <v>187</v>
      </c>
      <c r="I636" s="7">
        <f t="shared" si="76"/>
        <v>15.583333333333334</v>
      </c>
      <c r="J636" s="6"/>
      <c r="K636" s="6"/>
      <c r="L636" s="6"/>
      <c r="M636" s="6"/>
      <c r="N636" s="6"/>
      <c r="O636" s="6"/>
      <c r="P636" s="7"/>
      <c r="Q636" s="6"/>
      <c r="R636" s="6"/>
      <c r="S636" s="7"/>
      <c r="T636" s="6"/>
      <c r="Y636" s="13"/>
      <c r="AA636" s="6"/>
      <c r="AB636" s="13"/>
    </row>
    <row r="637" spans="1:31" x14ac:dyDescent="0.25">
      <c r="A637" s="6" t="s">
        <v>459</v>
      </c>
      <c r="B637" s="6">
        <v>264</v>
      </c>
      <c r="C637" s="6">
        <v>2278</v>
      </c>
      <c r="D637" s="6">
        <v>181</v>
      </c>
      <c r="E637" s="6">
        <v>45</v>
      </c>
      <c r="F637" s="7">
        <f t="shared" si="75"/>
        <v>16.75</v>
      </c>
      <c r="G637" s="6">
        <v>377</v>
      </c>
      <c r="H637" s="6">
        <v>6634</v>
      </c>
      <c r="I637" s="7">
        <f t="shared" si="76"/>
        <v>17.596816976127322</v>
      </c>
      <c r="J637" s="6"/>
      <c r="K637" s="6"/>
      <c r="L637" s="6">
        <v>2</v>
      </c>
      <c r="M637" s="6">
        <v>7</v>
      </c>
      <c r="N637" s="6">
        <v>2</v>
      </c>
      <c r="O637" s="6"/>
      <c r="P637" s="7">
        <f t="shared" si="81"/>
        <v>3.5</v>
      </c>
      <c r="Q637" s="6">
        <v>5</v>
      </c>
      <c r="R637" s="6">
        <v>38</v>
      </c>
      <c r="S637" s="7">
        <f t="shared" ref="S637:S697" si="84">(R637/Q637)</f>
        <v>7.6</v>
      </c>
      <c r="T637" s="6"/>
      <c r="Y637" s="13"/>
      <c r="AB637" s="13"/>
      <c r="AD637" s="6"/>
      <c r="AE637" s="8" t="s">
        <v>763</v>
      </c>
    </row>
    <row r="638" spans="1:31" x14ac:dyDescent="0.25">
      <c r="A638" s="6" t="s">
        <v>460</v>
      </c>
      <c r="B638" s="6">
        <v>209</v>
      </c>
      <c r="C638" s="6">
        <v>4290</v>
      </c>
      <c r="D638" s="6">
        <v>227</v>
      </c>
      <c r="E638" s="6">
        <v>23</v>
      </c>
      <c r="F638" s="7">
        <f t="shared" si="75"/>
        <v>21.029411764705884</v>
      </c>
      <c r="G638" s="6">
        <v>44</v>
      </c>
      <c r="H638" s="6">
        <v>630</v>
      </c>
      <c r="I638" s="7">
        <f t="shared" si="76"/>
        <v>14.318181818181818</v>
      </c>
      <c r="J638" s="6"/>
      <c r="K638" s="6"/>
      <c r="L638" s="6"/>
      <c r="M638" s="6"/>
      <c r="N638" s="6"/>
      <c r="O638" s="6"/>
      <c r="P638" s="7"/>
      <c r="Q638" s="6"/>
      <c r="R638" s="6"/>
      <c r="S638" s="7"/>
      <c r="T638" s="6"/>
      <c r="Y638" s="13"/>
      <c r="AA638" s="6"/>
      <c r="AB638" s="13"/>
    </row>
    <row r="639" spans="1:31" x14ac:dyDescent="0.25">
      <c r="A639" s="6" t="s">
        <v>461</v>
      </c>
      <c r="B639" s="6">
        <v>191</v>
      </c>
      <c r="C639" s="6">
        <v>3494</v>
      </c>
      <c r="D639" s="6">
        <v>181</v>
      </c>
      <c r="E639" s="6">
        <v>37</v>
      </c>
      <c r="F639" s="7">
        <f t="shared" si="75"/>
        <v>24.263888888888889</v>
      </c>
      <c r="G639" s="6">
        <v>193</v>
      </c>
      <c r="H639" s="6">
        <v>3590</v>
      </c>
      <c r="I639" s="7">
        <f t="shared" si="76"/>
        <v>18.60103626943005</v>
      </c>
      <c r="J639" s="6"/>
      <c r="K639" s="6"/>
      <c r="L639" s="6"/>
      <c r="M639" s="6"/>
      <c r="N639" s="6"/>
      <c r="O639" s="6"/>
      <c r="P639" s="7"/>
      <c r="Q639" s="6"/>
      <c r="R639" s="6"/>
      <c r="S639" s="7"/>
      <c r="T639" s="6"/>
      <c r="Y639" s="13"/>
      <c r="AB639" s="13"/>
      <c r="AD639" s="6"/>
      <c r="AE639" s="8" t="s">
        <v>764</v>
      </c>
    </row>
    <row r="640" spans="1:31" x14ac:dyDescent="0.25">
      <c r="A640" s="6" t="s">
        <v>462</v>
      </c>
      <c r="B640" s="6">
        <v>37</v>
      </c>
      <c r="C640" s="6">
        <v>888</v>
      </c>
      <c r="D640" s="6">
        <v>41</v>
      </c>
      <c r="E640" s="6">
        <v>3</v>
      </c>
      <c r="F640" s="7">
        <f t="shared" si="75"/>
        <v>23.368421052631579</v>
      </c>
      <c r="G640" s="6">
        <v>2</v>
      </c>
      <c r="H640" s="6">
        <v>57</v>
      </c>
      <c r="I640" s="7">
        <f t="shared" si="76"/>
        <v>28.5</v>
      </c>
      <c r="J640" s="6"/>
      <c r="K640" s="6"/>
      <c r="L640" s="6"/>
      <c r="M640" s="6"/>
      <c r="N640" s="6"/>
      <c r="O640" s="6"/>
      <c r="P640" s="7"/>
      <c r="Q640" s="6"/>
      <c r="R640" s="6"/>
      <c r="S640" s="7"/>
      <c r="T640" s="6"/>
      <c r="Y640" s="13"/>
      <c r="AA640" s="6"/>
      <c r="AB640" s="13"/>
    </row>
    <row r="641" spans="1:31" x14ac:dyDescent="0.25">
      <c r="A641" s="6" t="s">
        <v>463</v>
      </c>
      <c r="B641" s="6">
        <v>42.5</v>
      </c>
      <c r="C641" s="6">
        <v>649</v>
      </c>
      <c r="D641" s="6">
        <v>43</v>
      </c>
      <c r="E641" s="6">
        <v>9</v>
      </c>
      <c r="F641" s="7">
        <f t="shared" si="75"/>
        <v>19.088235294117649</v>
      </c>
      <c r="G641" s="6">
        <v>8</v>
      </c>
      <c r="H641" s="6">
        <v>319</v>
      </c>
      <c r="I641" s="7">
        <f t="shared" si="76"/>
        <v>39.875</v>
      </c>
      <c r="J641" s="6"/>
      <c r="K641" s="6"/>
      <c r="L641" s="6">
        <v>18</v>
      </c>
      <c r="M641" s="6">
        <v>148</v>
      </c>
      <c r="N641" s="6">
        <v>14</v>
      </c>
      <c r="O641" s="6">
        <v>2</v>
      </c>
      <c r="P641" s="7">
        <f t="shared" si="81"/>
        <v>12.333333333333334</v>
      </c>
      <c r="Q641" s="6"/>
      <c r="R641" s="6">
        <v>1</v>
      </c>
      <c r="S641" s="7">
        <v>85</v>
      </c>
      <c r="T641" s="6"/>
      <c r="Y641" s="13"/>
      <c r="AB641" s="13"/>
      <c r="AD641" s="6"/>
      <c r="AE641" s="8" t="s">
        <v>765</v>
      </c>
    </row>
    <row r="642" spans="1:31" x14ac:dyDescent="0.25">
      <c r="A642" s="6" t="s">
        <v>464</v>
      </c>
      <c r="B642" s="6">
        <v>6</v>
      </c>
      <c r="C642" s="6">
        <v>26</v>
      </c>
      <c r="D642" s="6">
        <v>6</v>
      </c>
      <c r="E642" s="6">
        <v>2</v>
      </c>
      <c r="F642" s="7">
        <f t="shared" si="75"/>
        <v>6.5</v>
      </c>
      <c r="G642" s="6">
        <v>2</v>
      </c>
      <c r="H642" s="6">
        <v>23</v>
      </c>
      <c r="I642" s="7">
        <f t="shared" si="76"/>
        <v>11.5</v>
      </c>
      <c r="J642" s="6"/>
      <c r="K642" s="6"/>
      <c r="L642" s="6"/>
      <c r="M642" s="6"/>
      <c r="N642" s="6"/>
      <c r="O642" s="6"/>
      <c r="P642" s="7"/>
      <c r="Q642" s="6"/>
      <c r="R642" s="6"/>
      <c r="S642" s="7"/>
      <c r="T642" s="6"/>
      <c r="Y642" s="13"/>
      <c r="AA642" s="6"/>
      <c r="AB642" s="13"/>
    </row>
    <row r="643" spans="1:31" x14ac:dyDescent="0.25">
      <c r="A643" s="6" t="s">
        <v>673</v>
      </c>
      <c r="B643" s="6">
        <v>2.5</v>
      </c>
      <c r="C643" s="6">
        <v>10</v>
      </c>
      <c r="D643" s="6">
        <v>3</v>
      </c>
      <c r="E643" s="6">
        <v>1</v>
      </c>
      <c r="F643" s="7">
        <f t="shared" si="75"/>
        <v>5</v>
      </c>
      <c r="G643" s="6"/>
      <c r="H643" s="6"/>
      <c r="I643" s="7"/>
      <c r="J643" s="6"/>
      <c r="K643" s="6"/>
      <c r="L643" s="6">
        <v>3</v>
      </c>
      <c r="M643" s="6">
        <v>10</v>
      </c>
      <c r="N643" s="6">
        <v>3</v>
      </c>
      <c r="O643" s="6">
        <v>1</v>
      </c>
      <c r="P643" s="7">
        <f t="shared" si="81"/>
        <v>5</v>
      </c>
      <c r="Q643" s="6"/>
      <c r="R643" s="6"/>
      <c r="S643" s="7"/>
      <c r="T643" s="6"/>
      <c r="Y643" s="13"/>
      <c r="AA643" s="6"/>
      <c r="AB643" s="13"/>
      <c r="AE643" s="8" t="s">
        <v>180</v>
      </c>
    </row>
    <row r="644" spans="1:31" x14ac:dyDescent="0.25">
      <c r="A644" s="6" t="s">
        <v>893</v>
      </c>
      <c r="B644" s="6">
        <v>5</v>
      </c>
      <c r="C644" s="6">
        <v>53</v>
      </c>
      <c r="D644" s="6">
        <v>4</v>
      </c>
      <c r="E644" s="6"/>
      <c r="F644" s="7">
        <f t="shared" si="75"/>
        <v>13.25</v>
      </c>
      <c r="G644" s="6">
        <v>5</v>
      </c>
      <c r="H644" s="6">
        <v>162</v>
      </c>
      <c r="I644" s="7">
        <f t="shared" si="76"/>
        <v>32.4</v>
      </c>
      <c r="J644" s="6"/>
      <c r="K644" s="6"/>
      <c r="L644" s="6"/>
      <c r="M644" s="6"/>
      <c r="N644" s="6"/>
      <c r="O644" s="6"/>
      <c r="P644" s="7"/>
      <c r="Q644" s="6"/>
      <c r="R644" s="6"/>
      <c r="S644" s="7"/>
      <c r="T644" s="6"/>
      <c r="Y644" s="13"/>
      <c r="AA644" s="6"/>
      <c r="AB644" s="13"/>
      <c r="AE644" s="8"/>
    </row>
    <row r="645" spans="1:31" x14ac:dyDescent="0.25">
      <c r="A645" s="6" t="s">
        <v>465</v>
      </c>
      <c r="B645" s="6">
        <v>56</v>
      </c>
      <c r="C645" s="6">
        <v>567</v>
      </c>
      <c r="D645" s="6">
        <v>57</v>
      </c>
      <c r="E645" s="6">
        <v>7</v>
      </c>
      <c r="F645" s="7">
        <f t="shared" si="75"/>
        <v>11.34</v>
      </c>
      <c r="G645" s="6">
        <v>15</v>
      </c>
      <c r="H645" s="6">
        <v>199</v>
      </c>
      <c r="I645" s="7">
        <f t="shared" si="76"/>
        <v>13.266666666666667</v>
      </c>
      <c r="J645" s="6"/>
      <c r="K645" s="6"/>
      <c r="L645" s="6"/>
      <c r="M645" s="6"/>
      <c r="N645" s="6"/>
      <c r="O645" s="6"/>
      <c r="P645" s="7"/>
      <c r="Q645" s="6"/>
      <c r="R645" s="6"/>
      <c r="S645" s="7"/>
      <c r="T645" s="6"/>
      <c r="Y645" s="13"/>
      <c r="AA645" s="6"/>
      <c r="AB645" s="13"/>
    </row>
    <row r="646" spans="1:31" x14ac:dyDescent="0.25">
      <c r="A646" s="6" t="s">
        <v>466</v>
      </c>
      <c r="B646" s="6">
        <v>7</v>
      </c>
      <c r="C646" s="6">
        <v>73</v>
      </c>
      <c r="D646" s="6">
        <v>8</v>
      </c>
      <c r="E646" s="6">
        <v>4</v>
      </c>
      <c r="F646" s="7">
        <f t="shared" si="75"/>
        <v>18.25</v>
      </c>
      <c r="G646" s="6"/>
      <c r="H646" s="6"/>
      <c r="I646" s="7"/>
      <c r="J646" s="6"/>
      <c r="K646" s="6"/>
      <c r="L646" s="6"/>
      <c r="M646" s="6"/>
      <c r="N646" s="6"/>
      <c r="O646" s="6"/>
      <c r="P646" s="7"/>
      <c r="Q646" s="6"/>
      <c r="R646" s="6"/>
      <c r="S646" s="7"/>
      <c r="T646" s="6"/>
      <c r="Y646" s="13"/>
      <c r="AA646" s="6"/>
      <c r="AB646" s="13"/>
    </row>
    <row r="647" spans="1:31" x14ac:dyDescent="0.25">
      <c r="A647" s="6" t="s">
        <v>467</v>
      </c>
      <c r="B647" s="6">
        <v>27</v>
      </c>
      <c r="C647" s="6">
        <v>871</v>
      </c>
      <c r="D647" s="6">
        <v>28</v>
      </c>
      <c r="E647" s="6">
        <v>2</v>
      </c>
      <c r="F647" s="7">
        <f t="shared" si="75"/>
        <v>33.5</v>
      </c>
      <c r="G647" s="6">
        <v>22</v>
      </c>
      <c r="H647" s="6">
        <v>343</v>
      </c>
      <c r="I647" s="7">
        <f t="shared" si="76"/>
        <v>15.590909090909092</v>
      </c>
      <c r="J647" s="6"/>
      <c r="K647" s="6"/>
      <c r="L647" s="6"/>
      <c r="M647" s="6"/>
      <c r="N647" s="6"/>
      <c r="O647" s="6"/>
      <c r="P647" s="7"/>
      <c r="Q647" s="6"/>
      <c r="R647" s="6"/>
      <c r="S647" s="7"/>
      <c r="T647" s="6"/>
      <c r="Y647" s="13"/>
      <c r="AA647" s="6"/>
      <c r="AB647" s="13"/>
    </row>
    <row r="648" spans="1:31" x14ac:dyDescent="0.25">
      <c r="A648" s="6" t="s">
        <v>468</v>
      </c>
      <c r="B648" s="6">
        <v>3</v>
      </c>
      <c r="C648" s="6">
        <v>32</v>
      </c>
      <c r="D648" s="6">
        <v>3</v>
      </c>
      <c r="E648" s="6"/>
      <c r="F648" s="7">
        <f t="shared" si="75"/>
        <v>10.666666666666666</v>
      </c>
      <c r="G648" s="6">
        <v>2</v>
      </c>
      <c r="H648" s="6">
        <v>86</v>
      </c>
      <c r="I648" s="7">
        <f t="shared" si="76"/>
        <v>43</v>
      </c>
      <c r="J648" s="6"/>
      <c r="K648" s="6"/>
      <c r="L648" s="6"/>
      <c r="M648" s="6"/>
      <c r="N648" s="6"/>
      <c r="O648" s="6"/>
      <c r="P648" s="7"/>
      <c r="Q648" s="6"/>
      <c r="R648" s="6"/>
      <c r="S648" s="7"/>
      <c r="T648" s="6"/>
      <c r="Y648" s="13"/>
      <c r="AA648" s="6"/>
      <c r="AB648" s="13"/>
    </row>
    <row r="649" spans="1:31" x14ac:dyDescent="0.25">
      <c r="A649" s="6" t="s">
        <v>469</v>
      </c>
      <c r="B649" s="6">
        <v>68</v>
      </c>
      <c r="C649" s="6">
        <v>444</v>
      </c>
      <c r="D649" s="6">
        <v>68</v>
      </c>
      <c r="E649" s="6">
        <v>10</v>
      </c>
      <c r="F649" s="7">
        <f t="shared" si="75"/>
        <v>7.6551724137931032</v>
      </c>
      <c r="G649" s="6">
        <v>57</v>
      </c>
      <c r="H649" s="6">
        <v>1203</v>
      </c>
      <c r="I649" s="7">
        <f t="shared" si="76"/>
        <v>21.105263157894736</v>
      </c>
      <c r="J649" s="6"/>
      <c r="K649" s="6"/>
      <c r="L649" s="6"/>
      <c r="M649" s="6"/>
      <c r="N649" s="6"/>
      <c r="O649" s="6"/>
      <c r="P649" s="7"/>
      <c r="Q649" s="6"/>
      <c r="R649" s="6"/>
      <c r="S649" s="7"/>
      <c r="T649" s="6"/>
      <c r="Y649" s="13"/>
      <c r="AA649" s="6"/>
      <c r="AB649" s="13"/>
    </row>
    <row r="650" spans="1:31" x14ac:dyDescent="0.25">
      <c r="A650" s="6" t="s">
        <v>470</v>
      </c>
      <c r="B650" s="6">
        <v>6</v>
      </c>
      <c r="C650" s="6">
        <v>102</v>
      </c>
      <c r="D650" s="6">
        <v>6</v>
      </c>
      <c r="E650" s="6"/>
      <c r="F650" s="7">
        <f t="shared" si="75"/>
        <v>17</v>
      </c>
      <c r="G650" s="6">
        <v>2</v>
      </c>
      <c r="H650" s="6">
        <v>54</v>
      </c>
      <c r="I650" s="7">
        <f t="shared" si="76"/>
        <v>27</v>
      </c>
      <c r="J650" s="6"/>
      <c r="K650" s="6"/>
      <c r="L650" s="6"/>
      <c r="M650" s="6"/>
      <c r="N650" s="6"/>
      <c r="O650" s="6"/>
      <c r="P650" s="7"/>
      <c r="Q650" s="6"/>
      <c r="R650" s="6"/>
      <c r="S650" s="7"/>
      <c r="T650" s="6"/>
      <c r="Y650" s="13"/>
      <c r="AA650" s="6"/>
      <c r="AB650" s="13"/>
    </row>
    <row r="651" spans="1:31" x14ac:dyDescent="0.25">
      <c r="A651" s="6" t="s">
        <v>471</v>
      </c>
      <c r="B651" s="6">
        <v>11</v>
      </c>
      <c r="C651" s="6">
        <v>328</v>
      </c>
      <c r="D651" s="6">
        <v>10</v>
      </c>
      <c r="E651" s="6"/>
      <c r="F651" s="7">
        <f t="shared" si="75"/>
        <v>32.799999999999997</v>
      </c>
      <c r="G651" s="6">
        <v>30</v>
      </c>
      <c r="H651" s="6">
        <v>382</v>
      </c>
      <c r="I651" s="7">
        <f t="shared" si="76"/>
        <v>12.733333333333333</v>
      </c>
      <c r="J651" s="6"/>
      <c r="K651" s="6"/>
      <c r="L651" s="6"/>
      <c r="M651" s="6"/>
      <c r="N651" s="6"/>
      <c r="O651" s="6"/>
      <c r="P651" s="7"/>
      <c r="Q651" s="6"/>
      <c r="R651" s="6"/>
      <c r="S651" s="7"/>
      <c r="T651" s="6"/>
      <c r="Y651" s="13"/>
      <c r="AA651" s="6"/>
      <c r="AB651" s="13"/>
    </row>
    <row r="652" spans="1:31" x14ac:dyDescent="0.25">
      <c r="A652" s="6" t="s">
        <v>674</v>
      </c>
      <c r="B652" s="6">
        <v>2</v>
      </c>
      <c r="C652" s="6">
        <v>27</v>
      </c>
      <c r="D652" s="6">
        <v>2</v>
      </c>
      <c r="E652" s="6"/>
      <c r="F652" s="7">
        <f t="shared" si="75"/>
        <v>13.5</v>
      </c>
      <c r="G652" s="6"/>
      <c r="H652" s="6"/>
      <c r="I652" s="7"/>
      <c r="J652" s="6"/>
      <c r="K652" s="6"/>
      <c r="L652" s="6"/>
      <c r="M652" s="6"/>
      <c r="N652" s="6"/>
      <c r="O652" s="6"/>
      <c r="P652" s="7"/>
      <c r="Q652" s="6"/>
      <c r="R652" s="6"/>
      <c r="S652" s="7"/>
      <c r="T652" s="6"/>
      <c r="Y652" s="13"/>
      <c r="AA652" s="6"/>
      <c r="AB652" s="13"/>
    </row>
    <row r="653" spans="1:31" x14ac:dyDescent="0.25">
      <c r="A653" s="6" t="s">
        <v>646</v>
      </c>
      <c r="B653" s="6">
        <v>12</v>
      </c>
      <c r="C653" s="6">
        <v>63</v>
      </c>
      <c r="D653" s="6">
        <v>11</v>
      </c>
      <c r="E653" s="6"/>
      <c r="F653" s="7">
        <f t="shared" si="75"/>
        <v>5.7272727272727275</v>
      </c>
      <c r="G653" s="6">
        <v>14</v>
      </c>
      <c r="H653" s="6">
        <v>359</v>
      </c>
      <c r="I653" s="7">
        <f t="shared" si="76"/>
        <v>25.642857142857142</v>
      </c>
      <c r="J653" s="6"/>
      <c r="K653" s="6"/>
      <c r="L653" s="6"/>
      <c r="M653" s="6"/>
      <c r="N653" s="6"/>
      <c r="O653" s="6"/>
      <c r="P653" s="7"/>
      <c r="Q653" s="6"/>
      <c r="R653" s="6"/>
      <c r="S653" s="7"/>
      <c r="T653" s="6"/>
      <c r="Y653" s="13"/>
      <c r="AA653" s="6"/>
      <c r="AB653" s="13"/>
    </row>
    <row r="654" spans="1:31" x14ac:dyDescent="0.25">
      <c r="A654" s="6" t="s">
        <v>472</v>
      </c>
      <c r="B654" s="6">
        <v>1</v>
      </c>
      <c r="C654" s="6"/>
      <c r="D654" s="6">
        <v>1</v>
      </c>
      <c r="E654" s="6">
        <v>1</v>
      </c>
      <c r="F654" s="7"/>
      <c r="G654" s="6">
        <v>4</v>
      </c>
      <c r="H654" s="6">
        <v>22</v>
      </c>
      <c r="I654" s="7">
        <f t="shared" si="76"/>
        <v>5.5</v>
      </c>
      <c r="J654" s="6"/>
      <c r="K654" s="6"/>
      <c r="L654" s="6"/>
      <c r="M654" s="6"/>
      <c r="N654" s="6"/>
      <c r="O654" s="6"/>
      <c r="P654" s="7"/>
      <c r="Q654" s="6"/>
      <c r="R654" s="6"/>
      <c r="S654" s="7"/>
      <c r="T654" s="6"/>
      <c r="Y654" s="13"/>
      <c r="AA654" s="6"/>
      <c r="AB654" s="13"/>
    </row>
    <row r="655" spans="1:31" x14ac:dyDescent="0.25">
      <c r="A655" s="6" t="s">
        <v>473</v>
      </c>
      <c r="B655" s="14">
        <v>269</v>
      </c>
      <c r="C655" s="6">
        <v>6490</v>
      </c>
      <c r="D655" s="6">
        <v>292</v>
      </c>
      <c r="E655" s="6">
        <v>24</v>
      </c>
      <c r="F655" s="7">
        <f t="shared" si="75"/>
        <v>24.21641791044776</v>
      </c>
      <c r="G655" s="6">
        <v>48</v>
      </c>
      <c r="H655" s="6">
        <v>607</v>
      </c>
      <c r="I655" s="7">
        <f t="shared" si="76"/>
        <v>12.645833333333334</v>
      </c>
      <c r="J655" s="6"/>
      <c r="K655" s="6"/>
      <c r="L655" s="6">
        <v>12</v>
      </c>
      <c r="M655" s="6">
        <v>266</v>
      </c>
      <c r="N655" s="6">
        <v>12</v>
      </c>
      <c r="O655" s="6">
        <v>2</v>
      </c>
      <c r="P655" s="7">
        <f t="shared" si="81"/>
        <v>26.6</v>
      </c>
      <c r="Q655" s="6"/>
      <c r="R655" s="6">
        <v>42</v>
      </c>
      <c r="S655" s="7"/>
      <c r="T655" s="6"/>
      <c r="U655" s="6">
        <v>10</v>
      </c>
      <c r="V655" s="6">
        <v>94</v>
      </c>
      <c r="W655" s="6">
        <v>9</v>
      </c>
      <c r="X655" s="6">
        <v>3</v>
      </c>
      <c r="Y655" s="6">
        <f>(V655/(W655-X655))</f>
        <v>15.666666666666666</v>
      </c>
      <c r="Z655" s="13"/>
      <c r="AA655" s="13"/>
      <c r="AB655" s="13"/>
      <c r="AC655" s="13"/>
      <c r="AD655" s="6"/>
      <c r="AE655" s="8" t="s">
        <v>975</v>
      </c>
    </row>
    <row r="656" spans="1:31" x14ac:dyDescent="0.25">
      <c r="A656" s="6" t="s">
        <v>474</v>
      </c>
      <c r="B656" s="6">
        <v>337</v>
      </c>
      <c r="C656" s="6">
        <v>5481</v>
      </c>
      <c r="D656" s="6">
        <v>323</v>
      </c>
      <c r="E656" s="6">
        <v>44</v>
      </c>
      <c r="F656" s="7">
        <f t="shared" si="75"/>
        <v>19.64516129032258</v>
      </c>
      <c r="G656" s="6">
        <v>69</v>
      </c>
      <c r="H656" s="6">
        <v>1618</v>
      </c>
      <c r="I656" s="7">
        <f t="shared" si="76"/>
        <v>23.44927536231884</v>
      </c>
      <c r="J656" s="6"/>
      <c r="K656" s="6"/>
      <c r="L656" s="6">
        <v>106</v>
      </c>
      <c r="M656" s="6">
        <v>1301</v>
      </c>
      <c r="N656" s="6">
        <v>85</v>
      </c>
      <c r="O656" s="6">
        <v>16</v>
      </c>
      <c r="P656" s="7">
        <f t="shared" si="81"/>
        <v>18.855072463768117</v>
      </c>
      <c r="Q656" s="6">
        <v>41</v>
      </c>
      <c r="R656" s="6">
        <v>1061</v>
      </c>
      <c r="S656" s="7">
        <f t="shared" si="84"/>
        <v>25.878048780487806</v>
      </c>
      <c r="T656" s="6"/>
      <c r="Y656" s="6"/>
      <c r="AB656" s="13"/>
      <c r="AD656" s="6"/>
      <c r="AE656" s="8" t="s">
        <v>859</v>
      </c>
    </row>
    <row r="657" spans="1:31" x14ac:dyDescent="0.25">
      <c r="A657" s="6" t="s">
        <v>830</v>
      </c>
      <c r="B657" s="6">
        <v>23</v>
      </c>
      <c r="C657" s="6">
        <v>310</v>
      </c>
      <c r="D657" s="6">
        <v>20</v>
      </c>
      <c r="E657" s="6">
        <v>3</v>
      </c>
      <c r="F657" s="7">
        <f t="shared" si="75"/>
        <v>18.235294117647058</v>
      </c>
      <c r="G657" s="6"/>
      <c r="H657" s="6">
        <v>20</v>
      </c>
      <c r="I657" s="7"/>
      <c r="J657" s="6"/>
      <c r="K657" s="6"/>
      <c r="L657" s="6"/>
      <c r="M657" s="6"/>
      <c r="N657" s="6"/>
      <c r="O657" s="6"/>
      <c r="P657" s="7"/>
      <c r="Q657" s="6"/>
      <c r="R657" s="6"/>
      <c r="S657" s="7"/>
      <c r="T657" s="6"/>
      <c r="U657" s="8">
        <v>1</v>
      </c>
      <c r="V657" s="8">
        <v>27</v>
      </c>
      <c r="W657" s="8">
        <v>1</v>
      </c>
      <c r="Y657" s="6">
        <f t="shared" ref="Y657" si="85">(V657/(W657-X657))</f>
        <v>27</v>
      </c>
      <c r="AA657" s="6"/>
      <c r="AB657" s="13"/>
      <c r="AE657" s="8" t="s">
        <v>1115</v>
      </c>
    </row>
    <row r="658" spans="1:31" x14ac:dyDescent="0.25">
      <c r="A658" s="6" t="s">
        <v>475</v>
      </c>
      <c r="B658" s="6">
        <v>140</v>
      </c>
      <c r="C658" s="6">
        <v>2879</v>
      </c>
      <c r="D658" s="6">
        <v>123</v>
      </c>
      <c r="E658" s="6">
        <v>27</v>
      </c>
      <c r="F658" s="7">
        <f t="shared" si="75"/>
        <v>29.989583333333332</v>
      </c>
      <c r="G658" s="6">
        <v>15</v>
      </c>
      <c r="H658" s="6">
        <v>507</v>
      </c>
      <c r="I658" s="7">
        <f t="shared" si="76"/>
        <v>33.799999999999997</v>
      </c>
      <c r="J658" s="6"/>
      <c r="K658" s="6"/>
      <c r="L658" s="6"/>
      <c r="M658" s="6"/>
      <c r="N658" s="6"/>
      <c r="O658" s="6"/>
      <c r="P658" s="7"/>
      <c r="Q658" s="6"/>
      <c r="R658" s="6"/>
      <c r="S658" s="7"/>
      <c r="T658" s="6"/>
      <c r="Y658" s="13"/>
      <c r="AA658" s="6"/>
      <c r="AB658" s="13"/>
    </row>
    <row r="659" spans="1:31" x14ac:dyDescent="0.25">
      <c r="A659" s="6" t="s">
        <v>476</v>
      </c>
      <c r="B659" s="6">
        <v>6</v>
      </c>
      <c r="C659" s="6">
        <v>20</v>
      </c>
      <c r="D659" s="6">
        <v>7</v>
      </c>
      <c r="E659" s="6">
        <v>69</v>
      </c>
      <c r="F659" s="7">
        <f t="shared" si="75"/>
        <v>-0.32258064516129031</v>
      </c>
      <c r="G659" s="6">
        <v>3</v>
      </c>
      <c r="H659" s="6">
        <v>68</v>
      </c>
      <c r="I659" s="7">
        <f t="shared" si="76"/>
        <v>22.666666666666668</v>
      </c>
      <c r="J659" s="6"/>
      <c r="K659" s="6"/>
      <c r="L659" s="6"/>
      <c r="M659" s="6"/>
      <c r="N659" s="6"/>
      <c r="O659" s="6"/>
      <c r="P659" s="7"/>
      <c r="Q659" s="6"/>
      <c r="R659" s="6"/>
      <c r="S659" s="7"/>
      <c r="T659" s="6"/>
      <c r="Y659" s="13"/>
      <c r="AA659" s="6"/>
      <c r="AB659" s="13"/>
    </row>
    <row r="660" spans="1:31" x14ac:dyDescent="0.25">
      <c r="A660" s="6" t="s">
        <v>860</v>
      </c>
      <c r="B660" s="6">
        <v>2</v>
      </c>
      <c r="C660" s="6"/>
      <c r="D660" s="6"/>
      <c r="E660" s="6"/>
      <c r="F660" s="7"/>
      <c r="G660" s="6">
        <v>1</v>
      </c>
      <c r="H660" s="6">
        <v>47</v>
      </c>
      <c r="I660" s="7">
        <f t="shared" si="76"/>
        <v>47</v>
      </c>
      <c r="J660" s="6"/>
      <c r="K660" s="6"/>
      <c r="L660" s="6"/>
      <c r="M660" s="6"/>
      <c r="N660" s="6"/>
      <c r="O660" s="6"/>
      <c r="P660" s="7"/>
      <c r="Q660" s="6"/>
      <c r="R660" s="6"/>
      <c r="S660" s="7"/>
      <c r="T660" s="6"/>
      <c r="Y660" s="13"/>
      <c r="AA660" s="6"/>
      <c r="AB660" s="13"/>
    </row>
    <row r="661" spans="1:31" x14ac:dyDescent="0.25">
      <c r="A661" s="6" t="s">
        <v>647</v>
      </c>
      <c r="B661" s="11">
        <v>135.5</v>
      </c>
      <c r="C661" s="6">
        <v>1684</v>
      </c>
      <c r="D661" s="6">
        <v>120</v>
      </c>
      <c r="E661" s="6">
        <v>24</v>
      </c>
      <c r="F661" s="7">
        <f t="shared" si="75"/>
        <v>17.541666666666668</v>
      </c>
      <c r="G661" s="6">
        <v>83</v>
      </c>
      <c r="H661" s="6">
        <v>1893</v>
      </c>
      <c r="I661" s="7">
        <f t="shared" si="76"/>
        <v>22.807228915662652</v>
      </c>
      <c r="J661" s="6"/>
      <c r="K661" s="6"/>
      <c r="L661" s="6">
        <v>12</v>
      </c>
      <c r="M661" s="6">
        <v>85</v>
      </c>
      <c r="N661" s="6">
        <v>10</v>
      </c>
      <c r="O661" s="6">
        <v>4</v>
      </c>
      <c r="P661" s="7">
        <f t="shared" si="81"/>
        <v>14.166666666666666</v>
      </c>
      <c r="Q661" s="6">
        <v>5</v>
      </c>
      <c r="R661" s="6">
        <v>96</v>
      </c>
      <c r="S661" s="7">
        <f t="shared" si="84"/>
        <v>19.2</v>
      </c>
      <c r="T661" s="6"/>
      <c r="U661" s="8">
        <v>4</v>
      </c>
      <c r="V661" s="8">
        <v>13</v>
      </c>
      <c r="W661" s="8">
        <v>2</v>
      </c>
      <c r="X661" s="8">
        <v>1</v>
      </c>
      <c r="Y661" s="13">
        <f t="shared" ref="Y661" si="86">(V661/(W661-X661))</f>
        <v>13</v>
      </c>
      <c r="Z661" s="8">
        <v>3</v>
      </c>
      <c r="AA661" s="8">
        <v>70</v>
      </c>
      <c r="AB661" s="13">
        <f t="shared" ref="AB661" si="87">AA661/Z661</f>
        <v>23.333333333333332</v>
      </c>
      <c r="AD661" s="6"/>
      <c r="AE661" s="8" t="s">
        <v>1120</v>
      </c>
    </row>
    <row r="662" spans="1:31" x14ac:dyDescent="0.25">
      <c r="A662" s="6" t="s">
        <v>477</v>
      </c>
      <c r="B662" s="6">
        <v>6</v>
      </c>
      <c r="C662" s="6">
        <v>41</v>
      </c>
      <c r="D662" s="6">
        <v>6</v>
      </c>
      <c r="E662" s="6">
        <v>1</v>
      </c>
      <c r="F662" s="7">
        <f t="shared" si="75"/>
        <v>8.1999999999999993</v>
      </c>
      <c r="G662" s="6">
        <v>1</v>
      </c>
      <c r="H662" s="6">
        <v>21</v>
      </c>
      <c r="I662" s="7">
        <f t="shared" si="76"/>
        <v>21</v>
      </c>
      <c r="J662" s="6"/>
      <c r="K662" s="6"/>
      <c r="L662" s="6"/>
      <c r="M662" s="6"/>
      <c r="N662" s="6"/>
      <c r="O662" s="6"/>
      <c r="P662" s="7"/>
      <c r="Q662" s="6"/>
      <c r="R662" s="6"/>
      <c r="S662" s="7"/>
      <c r="T662" s="6"/>
      <c r="Y662" s="13"/>
      <c r="AA662" s="6"/>
      <c r="AB662" s="13"/>
    </row>
    <row r="663" spans="1:31" x14ac:dyDescent="0.25">
      <c r="A663" s="6" t="s">
        <v>478</v>
      </c>
      <c r="B663" s="6">
        <v>80</v>
      </c>
      <c r="C663" s="6">
        <v>880</v>
      </c>
      <c r="D663" s="6">
        <v>82</v>
      </c>
      <c r="E663" s="6">
        <v>24</v>
      </c>
      <c r="F663" s="7">
        <f t="shared" si="75"/>
        <v>15.172413793103448</v>
      </c>
      <c r="G663" s="6">
        <v>93</v>
      </c>
      <c r="H663" s="6">
        <v>1585</v>
      </c>
      <c r="I663" s="7">
        <f t="shared" si="76"/>
        <v>17.043010752688172</v>
      </c>
      <c r="J663" s="6"/>
      <c r="K663" s="6"/>
      <c r="L663" s="6"/>
      <c r="M663" s="6"/>
      <c r="N663" s="6"/>
      <c r="O663" s="6"/>
      <c r="P663" s="7"/>
      <c r="Q663" s="6"/>
      <c r="R663" s="6"/>
      <c r="S663" s="7"/>
      <c r="T663" s="6"/>
      <c r="Y663" s="13"/>
      <c r="AA663" s="6"/>
      <c r="AB663" s="13"/>
    </row>
    <row r="664" spans="1:31" x14ac:dyDescent="0.25">
      <c r="A664" s="6" t="s">
        <v>894</v>
      </c>
      <c r="B664" s="6">
        <v>17.5</v>
      </c>
      <c r="C664" s="6">
        <v>132</v>
      </c>
      <c r="D664" s="6">
        <v>13</v>
      </c>
      <c r="E664" s="6">
        <v>2</v>
      </c>
      <c r="F664" s="7">
        <f t="shared" si="75"/>
        <v>12</v>
      </c>
      <c r="G664" s="6"/>
      <c r="H664" s="6">
        <v>33</v>
      </c>
      <c r="I664" s="7"/>
      <c r="J664" s="6"/>
      <c r="K664" s="6"/>
      <c r="L664" s="6"/>
      <c r="M664" s="6"/>
      <c r="N664" s="6"/>
      <c r="O664" s="6"/>
      <c r="P664" s="7"/>
      <c r="Q664" s="6"/>
      <c r="R664" s="6"/>
      <c r="S664" s="7"/>
      <c r="T664" s="6"/>
      <c r="U664" s="8">
        <v>3</v>
      </c>
      <c r="V664" s="8">
        <v>12</v>
      </c>
      <c r="W664" s="8">
        <v>2</v>
      </c>
      <c r="X664" s="13">
        <v>1</v>
      </c>
      <c r="Y664" s="13">
        <f t="shared" ref="Y664:Y717" si="88">(V664/(W664-X664))</f>
        <v>12</v>
      </c>
      <c r="Z664" s="8"/>
      <c r="AA664" s="8"/>
      <c r="AB664" s="13"/>
      <c r="AE664" s="1" t="s">
        <v>976</v>
      </c>
    </row>
    <row r="665" spans="1:31" x14ac:dyDescent="0.25">
      <c r="A665" s="6" t="s">
        <v>1068</v>
      </c>
      <c r="B665" s="6">
        <v>69.5</v>
      </c>
      <c r="C665" s="6">
        <v>1516</v>
      </c>
      <c r="D665" s="6">
        <v>75</v>
      </c>
      <c r="E665" s="6">
        <v>8</v>
      </c>
      <c r="F665" s="7">
        <f t="shared" si="75"/>
        <v>22.626865671641792</v>
      </c>
      <c r="G665" s="6">
        <v>51</v>
      </c>
      <c r="H665" s="6">
        <v>1245</v>
      </c>
      <c r="I665" s="7">
        <f t="shared" si="76"/>
        <v>24.411764705882351</v>
      </c>
      <c r="J665" s="6"/>
      <c r="K665" s="6"/>
      <c r="L665" s="6"/>
      <c r="M665" s="6"/>
      <c r="N665" s="6"/>
      <c r="O665" s="6"/>
      <c r="P665" s="7"/>
      <c r="Q665" s="6"/>
      <c r="R665" s="6"/>
      <c r="S665" s="7"/>
      <c r="T665" s="6"/>
      <c r="U665" s="13">
        <v>21</v>
      </c>
      <c r="V665" s="13">
        <v>451</v>
      </c>
      <c r="W665" s="13">
        <v>20</v>
      </c>
      <c r="X665" s="13">
        <v>2</v>
      </c>
      <c r="Y665" s="13">
        <f t="shared" si="88"/>
        <v>25.055555555555557</v>
      </c>
      <c r="Z665" s="13">
        <v>10</v>
      </c>
      <c r="AA665" s="13">
        <v>143</v>
      </c>
      <c r="AB665" s="13">
        <f>AA665/Z665</f>
        <v>14.3</v>
      </c>
      <c r="AE665" s="1" t="s">
        <v>1069</v>
      </c>
    </row>
    <row r="666" spans="1:31" x14ac:dyDescent="0.25">
      <c r="A666" s="6" t="s">
        <v>1070</v>
      </c>
      <c r="B666" s="6">
        <v>2</v>
      </c>
      <c r="C666" s="6">
        <v>16</v>
      </c>
      <c r="D666" s="6">
        <v>2</v>
      </c>
      <c r="E666" s="6"/>
      <c r="F666" s="7">
        <f t="shared" si="75"/>
        <v>8</v>
      </c>
      <c r="G666" s="6"/>
      <c r="H666" s="6">
        <v>23</v>
      </c>
      <c r="I666" s="7"/>
      <c r="J666" s="6"/>
      <c r="K666" s="6"/>
      <c r="L666" s="6"/>
      <c r="M666" s="6"/>
      <c r="N666" s="6"/>
      <c r="O666" s="6"/>
      <c r="P666" s="7"/>
      <c r="Q666" s="6"/>
      <c r="R666" s="6"/>
      <c r="S666" s="7"/>
      <c r="T666" s="6"/>
      <c r="U666" s="13"/>
      <c r="V666" s="13"/>
      <c r="W666" s="13"/>
      <c r="X666" s="13"/>
      <c r="Y666" s="13"/>
      <c r="Z666" s="13"/>
      <c r="AA666" s="13"/>
      <c r="AB666" s="13"/>
      <c r="AE666" t="s">
        <v>1021</v>
      </c>
    </row>
    <row r="667" spans="1:31" x14ac:dyDescent="0.25">
      <c r="A667" s="6" t="s">
        <v>479</v>
      </c>
      <c r="B667" s="11">
        <v>184</v>
      </c>
      <c r="C667" s="6">
        <v>4921</v>
      </c>
      <c r="D667" s="6">
        <v>208</v>
      </c>
      <c r="E667" s="6">
        <v>7</v>
      </c>
      <c r="F667" s="7">
        <f t="shared" si="75"/>
        <v>24.482587064676618</v>
      </c>
      <c r="G667" s="6">
        <v>51</v>
      </c>
      <c r="H667" s="6">
        <v>809</v>
      </c>
      <c r="I667" s="7">
        <f t="shared" si="76"/>
        <v>15.862745098039216</v>
      </c>
      <c r="J667" s="6"/>
      <c r="K667" s="6"/>
      <c r="L667" s="6">
        <v>9</v>
      </c>
      <c r="M667" s="6">
        <v>314</v>
      </c>
      <c r="N667" s="6">
        <v>9</v>
      </c>
      <c r="O667" s="6">
        <v>1</v>
      </c>
      <c r="P667" s="7">
        <f>(M667/(N667-O667))</f>
        <v>39.25</v>
      </c>
      <c r="Q667" s="6">
        <v>2</v>
      </c>
      <c r="R667" s="6">
        <v>63</v>
      </c>
      <c r="S667" s="7">
        <f t="shared" si="84"/>
        <v>31.5</v>
      </c>
      <c r="T667" s="6"/>
      <c r="U667" s="13">
        <v>5</v>
      </c>
      <c r="V667" s="13">
        <v>105</v>
      </c>
      <c r="W667" s="13">
        <v>4</v>
      </c>
      <c r="X667" s="13"/>
      <c r="Y667" s="13">
        <f t="shared" si="88"/>
        <v>26.25</v>
      </c>
      <c r="Z667" s="13">
        <v>3</v>
      </c>
      <c r="AA667" s="13">
        <v>60</v>
      </c>
      <c r="AB667" s="13">
        <f>AA667/Z667</f>
        <v>20</v>
      </c>
      <c r="AD667" s="6"/>
      <c r="AE667" s="8" t="s">
        <v>895</v>
      </c>
    </row>
    <row r="668" spans="1:31" x14ac:dyDescent="0.25">
      <c r="A668" s="6" t="s">
        <v>948</v>
      </c>
      <c r="B668" s="11">
        <v>54.5</v>
      </c>
      <c r="C668" s="6">
        <v>1053</v>
      </c>
      <c r="D668" s="6">
        <v>57</v>
      </c>
      <c r="E668" s="6">
        <v>7</v>
      </c>
      <c r="F668" s="7">
        <f t="shared" si="75"/>
        <v>21.06</v>
      </c>
      <c r="G668" s="6">
        <v>51</v>
      </c>
      <c r="H668" s="6">
        <v>1245</v>
      </c>
      <c r="I668" s="7">
        <f t="shared" si="76"/>
        <v>24.411764705882351</v>
      </c>
      <c r="J668" s="6"/>
      <c r="K668" s="6"/>
      <c r="L668" s="6"/>
      <c r="M668" s="6"/>
      <c r="N668" s="6"/>
      <c r="O668" s="6"/>
      <c r="P668" s="7"/>
      <c r="Q668" s="6"/>
      <c r="R668" s="6"/>
      <c r="S668" s="7"/>
      <c r="T668" s="6"/>
      <c r="U668" s="13">
        <v>15</v>
      </c>
      <c r="V668" s="13">
        <v>336</v>
      </c>
      <c r="W668" s="13">
        <v>14</v>
      </c>
      <c r="X668" s="13">
        <v>1</v>
      </c>
      <c r="Y668" s="13">
        <f t="shared" si="88"/>
        <v>25.846153846153847</v>
      </c>
      <c r="Z668" s="13">
        <v>10</v>
      </c>
      <c r="AA668" s="13">
        <v>143</v>
      </c>
      <c r="AB668" s="13">
        <f>AA668/Z668</f>
        <v>14.3</v>
      </c>
      <c r="AD668" s="6"/>
      <c r="AE668" s="8" t="s">
        <v>1046</v>
      </c>
    </row>
    <row r="669" spans="1:31" x14ac:dyDescent="0.25">
      <c r="A669" s="6" t="s">
        <v>831</v>
      </c>
      <c r="B669" s="6">
        <v>4.5</v>
      </c>
      <c r="C669" s="6">
        <v>14</v>
      </c>
      <c r="D669" s="6">
        <v>7</v>
      </c>
      <c r="E669" s="6">
        <v>2</v>
      </c>
      <c r="F669" s="7">
        <f t="shared" si="75"/>
        <v>2.8</v>
      </c>
      <c r="G669" s="6">
        <v>1</v>
      </c>
      <c r="H669" s="6">
        <v>35</v>
      </c>
      <c r="I669" s="7">
        <f t="shared" si="76"/>
        <v>35</v>
      </c>
      <c r="J669" s="6"/>
      <c r="K669" s="6"/>
      <c r="L669" s="6">
        <v>7</v>
      </c>
      <c r="M669" s="6">
        <v>14</v>
      </c>
      <c r="N669" s="6">
        <v>7</v>
      </c>
      <c r="O669" s="6">
        <v>2</v>
      </c>
      <c r="P669" s="7">
        <f>(M669/(N669-O669))</f>
        <v>2.8</v>
      </c>
      <c r="Q669" s="6">
        <v>1</v>
      </c>
      <c r="R669" s="6">
        <v>35</v>
      </c>
      <c r="S669" s="7">
        <f t="shared" si="84"/>
        <v>35</v>
      </c>
      <c r="T669" s="6"/>
      <c r="Y669" s="13"/>
      <c r="AB669" s="13"/>
      <c r="AD669" s="6"/>
      <c r="AE669" s="8" t="s">
        <v>832</v>
      </c>
    </row>
    <row r="670" spans="1:31" x14ac:dyDescent="0.25">
      <c r="A670" s="6" t="s">
        <v>896</v>
      </c>
      <c r="B670" s="6">
        <v>9</v>
      </c>
      <c r="C670" s="6">
        <v>101</v>
      </c>
      <c r="D670" s="6">
        <v>9</v>
      </c>
      <c r="E670" s="6"/>
      <c r="F670" s="7">
        <f t="shared" si="75"/>
        <v>11.222222222222221</v>
      </c>
      <c r="G670" s="6">
        <v>11</v>
      </c>
      <c r="H670" s="6">
        <v>130</v>
      </c>
      <c r="I670" s="7">
        <f t="shared" si="76"/>
        <v>11.818181818181818</v>
      </c>
      <c r="J670" s="6"/>
      <c r="K670" s="6"/>
      <c r="L670" s="6"/>
      <c r="M670" s="6"/>
      <c r="N670" s="6"/>
      <c r="O670" s="6"/>
      <c r="P670" s="7"/>
      <c r="Q670" s="6"/>
      <c r="R670" s="6"/>
      <c r="S670" s="7"/>
      <c r="T670" s="6"/>
      <c r="Y670" s="13"/>
      <c r="AB670" s="13"/>
      <c r="AD670" s="6"/>
      <c r="AE670" s="8"/>
    </row>
    <row r="671" spans="1:31" x14ac:dyDescent="0.25">
      <c r="A671" s="6" t="s">
        <v>480</v>
      </c>
      <c r="B671" s="6">
        <v>8</v>
      </c>
      <c r="C671" s="6">
        <v>214</v>
      </c>
      <c r="D671" s="6">
        <v>9</v>
      </c>
      <c r="E671" s="6">
        <v>2</v>
      </c>
      <c r="F671" s="7">
        <f t="shared" si="75"/>
        <v>30.571428571428573</v>
      </c>
      <c r="G671" s="6"/>
      <c r="H671" s="6">
        <v>17</v>
      </c>
      <c r="I671" s="7"/>
      <c r="J671" s="6"/>
      <c r="K671" s="6"/>
      <c r="L671" s="6"/>
      <c r="M671" s="6"/>
      <c r="N671" s="6"/>
      <c r="O671" s="6"/>
      <c r="P671" s="7"/>
      <c r="Q671" s="6"/>
      <c r="R671" s="6"/>
      <c r="S671" s="7"/>
      <c r="T671" s="6"/>
      <c r="Y671" s="13"/>
      <c r="AA671" s="6"/>
      <c r="AB671" s="13"/>
    </row>
    <row r="672" spans="1:31" x14ac:dyDescent="0.25">
      <c r="A672" s="6" t="s">
        <v>648</v>
      </c>
      <c r="B672" s="6">
        <v>10</v>
      </c>
      <c r="C672" s="6">
        <v>94</v>
      </c>
      <c r="D672" s="6">
        <v>10</v>
      </c>
      <c r="E672" s="6"/>
      <c r="F672" s="7">
        <f t="shared" si="75"/>
        <v>9.4</v>
      </c>
      <c r="G672" s="6">
        <v>4</v>
      </c>
      <c r="H672" s="6">
        <v>151</v>
      </c>
      <c r="I672" s="7">
        <f t="shared" si="76"/>
        <v>37.75</v>
      </c>
      <c r="J672" s="6"/>
      <c r="K672" s="6"/>
      <c r="L672" s="6"/>
      <c r="M672" s="6"/>
      <c r="N672" s="6"/>
      <c r="O672" s="6"/>
      <c r="P672" s="7"/>
      <c r="Q672" s="6"/>
      <c r="R672" s="6"/>
      <c r="S672" s="7"/>
      <c r="T672" s="6"/>
      <c r="Y672" s="13"/>
      <c r="AA672" s="6"/>
      <c r="AB672" s="13"/>
    </row>
    <row r="673" spans="1:31" x14ac:dyDescent="0.25">
      <c r="A673" s="6" t="s">
        <v>630</v>
      </c>
      <c r="B673" s="6">
        <v>25</v>
      </c>
      <c r="C673" s="6">
        <v>127</v>
      </c>
      <c r="D673" s="6">
        <v>22</v>
      </c>
      <c r="E673" s="6">
        <v>6</v>
      </c>
      <c r="F673" s="7">
        <f t="shared" si="75"/>
        <v>7.9375</v>
      </c>
      <c r="G673" s="6">
        <v>12</v>
      </c>
      <c r="H673" s="6">
        <v>429</v>
      </c>
      <c r="I673" s="7">
        <f t="shared" si="76"/>
        <v>35.75</v>
      </c>
      <c r="J673" s="6"/>
      <c r="K673" s="6"/>
      <c r="L673" s="6">
        <v>1</v>
      </c>
      <c r="M673" s="6"/>
      <c r="N673" s="6"/>
      <c r="O673" s="6"/>
      <c r="P673" s="7"/>
      <c r="Q673" s="6"/>
      <c r="R673" s="6">
        <v>20</v>
      </c>
      <c r="S673" s="7"/>
      <c r="T673" s="6"/>
      <c r="Y673" s="13"/>
      <c r="AB673" s="13"/>
      <c r="AD673" s="6"/>
      <c r="AE673" s="8" t="s">
        <v>649</v>
      </c>
    </row>
    <row r="674" spans="1:31" x14ac:dyDescent="0.25">
      <c r="A674" s="6" t="s">
        <v>481</v>
      </c>
      <c r="B674" s="6">
        <v>6</v>
      </c>
      <c r="C674" s="6">
        <v>17</v>
      </c>
      <c r="D674" s="6">
        <v>7</v>
      </c>
      <c r="E674" s="6">
        <v>3</v>
      </c>
      <c r="F674" s="7">
        <f t="shared" si="75"/>
        <v>4.25</v>
      </c>
      <c r="G674" s="6">
        <v>3</v>
      </c>
      <c r="H674" s="6">
        <v>121</v>
      </c>
      <c r="I674" s="7">
        <f t="shared" si="76"/>
        <v>40.333333333333336</v>
      </c>
      <c r="J674" s="6"/>
      <c r="K674" s="6"/>
      <c r="L674" s="6"/>
      <c r="M674" s="6"/>
      <c r="N674" s="6"/>
      <c r="O674" s="6"/>
      <c r="P674" s="7"/>
      <c r="Q674" s="6"/>
      <c r="R674" s="6"/>
      <c r="S674" s="7"/>
      <c r="T674" s="6"/>
      <c r="Y674" s="13"/>
      <c r="AA674" s="6"/>
      <c r="AB674" s="13"/>
    </row>
    <row r="675" spans="1:31" x14ac:dyDescent="0.25">
      <c r="A675" s="6" t="s">
        <v>482</v>
      </c>
      <c r="B675" s="6">
        <v>7</v>
      </c>
      <c r="C675" s="6">
        <v>23</v>
      </c>
      <c r="D675" s="6">
        <v>7</v>
      </c>
      <c r="E675" s="6">
        <v>3</v>
      </c>
      <c r="F675" s="7">
        <f t="shared" si="75"/>
        <v>5.75</v>
      </c>
      <c r="G675" s="6">
        <v>1</v>
      </c>
      <c r="H675" s="6">
        <v>50</v>
      </c>
      <c r="I675" s="7">
        <f t="shared" si="76"/>
        <v>50</v>
      </c>
      <c r="J675" s="6"/>
      <c r="K675" s="6"/>
      <c r="L675" s="6"/>
      <c r="M675" s="6"/>
      <c r="N675" s="6"/>
      <c r="O675" s="6"/>
      <c r="P675" s="7"/>
      <c r="Q675" s="6"/>
      <c r="R675" s="6"/>
      <c r="S675" s="7"/>
      <c r="T675" s="6"/>
      <c r="Y675" s="13"/>
      <c r="AA675" s="6"/>
      <c r="AB675" s="13"/>
    </row>
    <row r="676" spans="1:31" x14ac:dyDescent="0.25">
      <c r="A676" s="6" t="s">
        <v>483</v>
      </c>
      <c r="B676" s="6">
        <v>5</v>
      </c>
      <c r="C676" s="6">
        <v>27</v>
      </c>
      <c r="D676" s="6">
        <v>5</v>
      </c>
      <c r="E676" s="6"/>
      <c r="F676" s="7">
        <f t="shared" ref="F676:F777" si="89">(C676/(D676-E676))</f>
        <v>5.4</v>
      </c>
      <c r="G676" s="6">
        <v>2</v>
      </c>
      <c r="H676" s="6">
        <v>63</v>
      </c>
      <c r="I676" s="7">
        <f t="shared" si="76"/>
        <v>31.5</v>
      </c>
      <c r="J676" s="6"/>
      <c r="K676" s="6"/>
      <c r="L676" s="6"/>
      <c r="M676" s="6"/>
      <c r="N676" s="6"/>
      <c r="O676" s="6"/>
      <c r="P676" s="7"/>
      <c r="Q676" s="6"/>
      <c r="R676" s="6"/>
      <c r="S676" s="7"/>
      <c r="T676" s="6"/>
      <c r="Y676" s="13"/>
      <c r="AA676" s="6"/>
      <c r="AB676" s="13"/>
    </row>
    <row r="677" spans="1:31" x14ac:dyDescent="0.25">
      <c r="A677" s="6" t="s">
        <v>793</v>
      </c>
      <c r="B677" s="6">
        <v>10</v>
      </c>
      <c r="C677" s="6">
        <v>155</v>
      </c>
      <c r="D677" s="6">
        <v>12</v>
      </c>
      <c r="E677" s="6">
        <v>3</v>
      </c>
      <c r="F677" s="7">
        <f t="shared" si="89"/>
        <v>17.222222222222221</v>
      </c>
      <c r="G677" s="6">
        <v>3</v>
      </c>
      <c r="H677" s="6">
        <v>60</v>
      </c>
      <c r="I677" s="7">
        <f t="shared" si="76"/>
        <v>20</v>
      </c>
      <c r="J677" s="6"/>
      <c r="K677" s="6"/>
      <c r="L677" s="6">
        <v>4</v>
      </c>
      <c r="M677" s="6">
        <v>47</v>
      </c>
      <c r="N677" s="6">
        <v>4</v>
      </c>
      <c r="O677" s="6">
        <v>2</v>
      </c>
      <c r="P677" s="7">
        <f t="shared" ref="P677" si="90">(M677/(N677-O677))</f>
        <v>23.5</v>
      </c>
      <c r="Q677" s="6"/>
      <c r="R677" s="6"/>
      <c r="S677" s="7"/>
      <c r="T677" s="6"/>
      <c r="Y677" s="13"/>
      <c r="AB677" s="13"/>
      <c r="AD677" s="6"/>
      <c r="AE677" s="8" t="s">
        <v>393</v>
      </c>
    </row>
    <row r="678" spans="1:31" x14ac:dyDescent="0.25">
      <c r="A678" s="6" t="s">
        <v>484</v>
      </c>
      <c r="B678" s="6">
        <v>2</v>
      </c>
      <c r="C678" s="6">
        <v>3</v>
      </c>
      <c r="D678" s="6">
        <v>2</v>
      </c>
      <c r="E678" s="6"/>
      <c r="F678" s="7">
        <f t="shared" si="89"/>
        <v>1.5</v>
      </c>
      <c r="G678" s="6"/>
      <c r="H678" s="6"/>
      <c r="I678" s="7"/>
      <c r="J678" s="6"/>
      <c r="K678" s="6"/>
      <c r="L678" s="6"/>
      <c r="M678" s="6"/>
      <c r="N678" s="6"/>
      <c r="O678" s="6"/>
      <c r="P678" s="7"/>
      <c r="Q678" s="6"/>
      <c r="R678" s="6"/>
      <c r="S678" s="7"/>
      <c r="T678" s="6"/>
      <c r="Y678" s="13"/>
      <c r="AA678" s="6"/>
      <c r="AB678" s="13"/>
    </row>
    <row r="679" spans="1:31" x14ac:dyDescent="0.25">
      <c r="A679" s="6" t="s">
        <v>485</v>
      </c>
      <c r="B679" s="6">
        <v>15</v>
      </c>
      <c r="C679" s="6">
        <v>379</v>
      </c>
      <c r="D679" s="6">
        <v>18</v>
      </c>
      <c r="E679" s="6"/>
      <c r="F679" s="7">
        <f t="shared" si="89"/>
        <v>21.055555555555557</v>
      </c>
      <c r="G679" s="6">
        <v>1</v>
      </c>
      <c r="H679" s="6">
        <v>6</v>
      </c>
      <c r="I679" s="7">
        <f t="shared" ref="I679:I778" si="91">(H679/G679)</f>
        <v>6</v>
      </c>
      <c r="J679" s="6"/>
      <c r="K679" s="6"/>
      <c r="L679" s="6"/>
      <c r="M679" s="6"/>
      <c r="N679" s="6"/>
      <c r="O679" s="6"/>
      <c r="P679" s="7"/>
      <c r="Q679" s="6"/>
      <c r="R679" s="6"/>
      <c r="S679" s="7"/>
      <c r="T679" s="6"/>
      <c r="Y679" s="13"/>
      <c r="AA679" s="6"/>
      <c r="AB679" s="13"/>
    </row>
    <row r="680" spans="1:31" x14ac:dyDescent="0.25">
      <c r="A680" s="6" t="s">
        <v>486</v>
      </c>
      <c r="B680" s="6">
        <v>69</v>
      </c>
      <c r="C680" s="6">
        <v>1701</v>
      </c>
      <c r="D680" s="6">
        <v>76</v>
      </c>
      <c r="E680" s="6">
        <v>9</v>
      </c>
      <c r="F680" s="7">
        <f t="shared" si="89"/>
        <v>25.388059701492537</v>
      </c>
      <c r="G680" s="6">
        <v>10</v>
      </c>
      <c r="H680" s="6">
        <v>341</v>
      </c>
      <c r="I680" s="7">
        <f t="shared" si="91"/>
        <v>34.1</v>
      </c>
      <c r="J680" s="6"/>
      <c r="K680" s="6"/>
      <c r="L680" s="6"/>
      <c r="M680" s="6"/>
      <c r="N680" s="6"/>
      <c r="O680" s="6"/>
      <c r="P680" s="7"/>
      <c r="Q680" s="6"/>
      <c r="R680" s="6"/>
      <c r="S680" s="7"/>
      <c r="T680" s="6"/>
      <c r="Y680" s="13"/>
      <c r="AA680" s="6"/>
      <c r="AB680" s="13"/>
    </row>
    <row r="681" spans="1:31" x14ac:dyDescent="0.25">
      <c r="A681" s="6" t="s">
        <v>487</v>
      </c>
      <c r="B681" s="6">
        <v>37</v>
      </c>
      <c r="C681" s="6">
        <v>493</v>
      </c>
      <c r="D681" s="6">
        <v>34</v>
      </c>
      <c r="E681" s="6">
        <v>7</v>
      </c>
      <c r="F681" s="7">
        <f t="shared" si="89"/>
        <v>18.25925925925926</v>
      </c>
      <c r="G681" s="6">
        <v>6</v>
      </c>
      <c r="H681" s="6">
        <v>228</v>
      </c>
      <c r="I681" s="7">
        <f t="shared" si="91"/>
        <v>38</v>
      </c>
      <c r="J681" s="6"/>
      <c r="K681" s="6"/>
      <c r="L681" s="6"/>
      <c r="M681" s="6"/>
      <c r="N681" s="6"/>
      <c r="O681" s="6"/>
      <c r="P681" s="7"/>
      <c r="Q681" s="6"/>
      <c r="R681" s="6"/>
      <c r="S681" s="7"/>
      <c r="T681" s="6"/>
      <c r="Y681" s="13"/>
      <c r="AA681" s="6"/>
      <c r="AB681" s="13"/>
    </row>
    <row r="682" spans="1:31" x14ac:dyDescent="0.25">
      <c r="A682" s="6" t="s">
        <v>630</v>
      </c>
      <c r="B682" s="6">
        <v>19</v>
      </c>
      <c r="C682" s="6">
        <v>116</v>
      </c>
      <c r="D682" s="6">
        <v>20</v>
      </c>
      <c r="E682" s="6">
        <v>5</v>
      </c>
      <c r="F682" s="7">
        <f t="shared" si="89"/>
        <v>7.7333333333333334</v>
      </c>
      <c r="G682" s="6">
        <v>10</v>
      </c>
      <c r="H682" s="6">
        <v>270</v>
      </c>
      <c r="I682" s="7">
        <f t="shared" si="91"/>
        <v>27</v>
      </c>
      <c r="J682" s="6"/>
      <c r="K682" s="6"/>
      <c r="L682" s="6"/>
      <c r="M682" s="6"/>
      <c r="N682" s="6"/>
      <c r="O682" s="6"/>
      <c r="P682" s="7"/>
      <c r="Q682" s="6"/>
      <c r="R682" s="6"/>
      <c r="S682" s="7"/>
      <c r="T682" s="6"/>
      <c r="Y682" s="13"/>
      <c r="AA682" s="6"/>
      <c r="AB682" s="13"/>
    </row>
    <row r="683" spans="1:31" x14ac:dyDescent="0.25">
      <c r="A683" s="6" t="s">
        <v>679</v>
      </c>
      <c r="B683" s="21">
        <v>121.5</v>
      </c>
      <c r="C683" s="6">
        <v>1791</v>
      </c>
      <c r="D683" s="6">
        <v>113</v>
      </c>
      <c r="E683" s="6">
        <v>38</v>
      </c>
      <c r="F683" s="7">
        <f t="shared" si="89"/>
        <v>23.88</v>
      </c>
      <c r="G683" s="6">
        <v>179</v>
      </c>
      <c r="H683" s="6">
        <v>2993</v>
      </c>
      <c r="I683" s="7">
        <f t="shared" si="91"/>
        <v>16.720670391061454</v>
      </c>
      <c r="J683" s="6"/>
      <c r="K683" s="6"/>
      <c r="L683" s="6">
        <v>10</v>
      </c>
      <c r="M683" s="6">
        <v>167</v>
      </c>
      <c r="N683" s="6">
        <v>8</v>
      </c>
      <c r="O683" s="6">
        <v>4</v>
      </c>
      <c r="P683" s="7">
        <f t="shared" ref="P683:P685" si="92">(M683/(N683-O683))</f>
        <v>41.75</v>
      </c>
      <c r="Q683" s="6">
        <v>10</v>
      </c>
      <c r="R683" s="6">
        <v>306</v>
      </c>
      <c r="S683" s="7">
        <f t="shared" si="84"/>
        <v>30.6</v>
      </c>
      <c r="T683" s="6"/>
      <c r="Y683" s="13"/>
      <c r="AB683" s="13"/>
      <c r="AD683" s="6"/>
      <c r="AE683" s="8" t="s">
        <v>833</v>
      </c>
    </row>
    <row r="684" spans="1:31" x14ac:dyDescent="0.25">
      <c r="A684" s="6" t="s">
        <v>488</v>
      </c>
      <c r="B684" s="6">
        <v>4</v>
      </c>
      <c r="C684" s="6">
        <v>20</v>
      </c>
      <c r="D684" s="6">
        <v>4</v>
      </c>
      <c r="E684" s="6">
        <v>1</v>
      </c>
      <c r="F684" s="7">
        <f t="shared" si="89"/>
        <v>6.666666666666667</v>
      </c>
      <c r="G684" s="6">
        <v>1</v>
      </c>
      <c r="H684" s="6">
        <v>28</v>
      </c>
      <c r="I684" s="7">
        <f t="shared" si="91"/>
        <v>28</v>
      </c>
      <c r="J684" s="6"/>
      <c r="K684" s="6"/>
      <c r="L684" s="6"/>
      <c r="M684" s="6"/>
      <c r="N684" s="6"/>
      <c r="O684" s="6"/>
      <c r="P684" s="7"/>
      <c r="Q684" s="6"/>
      <c r="R684" s="6"/>
      <c r="S684" s="7"/>
      <c r="T684" s="6"/>
      <c r="Y684" s="13"/>
      <c r="AA684" s="6"/>
      <c r="AB684" s="13"/>
    </row>
    <row r="685" spans="1:31" x14ac:dyDescent="0.25">
      <c r="A685" s="6" t="s">
        <v>834</v>
      </c>
      <c r="B685" s="6">
        <v>10</v>
      </c>
      <c r="C685" s="6">
        <v>95</v>
      </c>
      <c r="D685" s="6">
        <v>14</v>
      </c>
      <c r="E685" s="6">
        <v>2</v>
      </c>
      <c r="F685" s="7">
        <f t="shared" si="89"/>
        <v>7.916666666666667</v>
      </c>
      <c r="G685" s="6">
        <v>12</v>
      </c>
      <c r="H685" s="6">
        <v>328</v>
      </c>
      <c r="I685" s="7">
        <f t="shared" si="91"/>
        <v>27.333333333333332</v>
      </c>
      <c r="J685" s="6"/>
      <c r="K685" s="6"/>
      <c r="L685" s="6">
        <v>10</v>
      </c>
      <c r="M685" s="6">
        <v>53</v>
      </c>
      <c r="N685" s="6">
        <v>10</v>
      </c>
      <c r="O685" s="6">
        <v>2</v>
      </c>
      <c r="P685" s="7">
        <f t="shared" si="92"/>
        <v>6.625</v>
      </c>
      <c r="Q685" s="6">
        <v>6</v>
      </c>
      <c r="R685" s="6">
        <v>223</v>
      </c>
      <c r="S685" s="7">
        <f t="shared" si="84"/>
        <v>37.166666666666664</v>
      </c>
      <c r="T685" s="6"/>
      <c r="Y685" s="13"/>
      <c r="AB685" s="13"/>
      <c r="AD685" s="6"/>
      <c r="AE685" s="8" t="s">
        <v>897</v>
      </c>
    </row>
    <row r="686" spans="1:31" x14ac:dyDescent="0.25">
      <c r="A686" s="6" t="s">
        <v>489</v>
      </c>
      <c r="B686" s="6">
        <v>20</v>
      </c>
      <c r="C686" s="6">
        <v>145</v>
      </c>
      <c r="D686" s="6">
        <v>18</v>
      </c>
      <c r="E686" s="6">
        <v>4</v>
      </c>
      <c r="F686" s="7">
        <f t="shared" si="89"/>
        <v>10.357142857142858</v>
      </c>
      <c r="G686" s="6">
        <v>36</v>
      </c>
      <c r="H686" s="6">
        <v>637</v>
      </c>
      <c r="I686" s="7">
        <f t="shared" si="91"/>
        <v>17.694444444444443</v>
      </c>
      <c r="J686" s="6"/>
      <c r="K686" s="6"/>
      <c r="L686" s="6"/>
      <c r="M686" s="6"/>
      <c r="N686" s="6"/>
      <c r="O686" s="6"/>
      <c r="P686" s="7"/>
      <c r="Q686" s="6"/>
      <c r="R686" s="6"/>
      <c r="S686" s="7"/>
      <c r="T686" s="6"/>
      <c r="Y686" s="13"/>
      <c r="AA686" s="6"/>
      <c r="AB686" s="13"/>
    </row>
    <row r="687" spans="1:31" x14ac:dyDescent="0.25">
      <c r="A687" s="6" t="s">
        <v>490</v>
      </c>
      <c r="B687" s="6">
        <v>6</v>
      </c>
      <c r="C687" s="6">
        <v>9</v>
      </c>
      <c r="D687" s="6">
        <v>6</v>
      </c>
      <c r="E687" s="6">
        <v>1</v>
      </c>
      <c r="F687" s="7">
        <f t="shared" si="89"/>
        <v>1.8</v>
      </c>
      <c r="G687" s="6">
        <v>1</v>
      </c>
      <c r="H687" s="6">
        <v>42</v>
      </c>
      <c r="I687" s="7">
        <f t="shared" si="91"/>
        <v>42</v>
      </c>
      <c r="J687" s="6"/>
      <c r="K687" s="6"/>
      <c r="L687" s="6"/>
      <c r="M687" s="6"/>
      <c r="N687" s="6"/>
      <c r="O687" s="6"/>
      <c r="P687" s="7"/>
      <c r="Q687" s="6"/>
      <c r="R687" s="6"/>
      <c r="S687" s="7"/>
      <c r="T687" s="6"/>
      <c r="Y687" s="13"/>
      <c r="AA687" s="6"/>
      <c r="AB687" s="13"/>
    </row>
    <row r="688" spans="1:31" x14ac:dyDescent="0.25">
      <c r="A688" s="6" t="s">
        <v>491</v>
      </c>
      <c r="B688" s="6">
        <v>42.5</v>
      </c>
      <c r="C688" s="6">
        <v>345</v>
      </c>
      <c r="D688" s="6">
        <v>33</v>
      </c>
      <c r="E688" s="6">
        <v>12</v>
      </c>
      <c r="F688" s="7">
        <f t="shared" si="89"/>
        <v>16.428571428571427</v>
      </c>
      <c r="G688" s="6">
        <v>94</v>
      </c>
      <c r="H688" s="6">
        <v>1769</v>
      </c>
      <c r="I688" s="7">
        <f t="shared" si="91"/>
        <v>18.819148936170212</v>
      </c>
      <c r="J688" s="6"/>
      <c r="K688" s="6"/>
      <c r="L688" s="6">
        <v>71</v>
      </c>
      <c r="M688" s="6">
        <v>334</v>
      </c>
      <c r="N688" s="6">
        <v>32</v>
      </c>
      <c r="O688" s="6">
        <v>12</v>
      </c>
      <c r="P688" s="7">
        <f t="shared" si="81"/>
        <v>16.7</v>
      </c>
      <c r="Q688" s="6">
        <v>94</v>
      </c>
      <c r="R688" s="6">
        <v>1769</v>
      </c>
      <c r="S688" s="7">
        <f t="shared" si="84"/>
        <v>18.819148936170212</v>
      </c>
      <c r="T688" s="6"/>
      <c r="Y688" s="13"/>
      <c r="AB688" s="13"/>
      <c r="AD688" s="6"/>
      <c r="AE688" s="8" t="s">
        <v>492</v>
      </c>
    </row>
    <row r="689" spans="1:31" x14ac:dyDescent="0.25">
      <c r="A689" s="6" t="s">
        <v>493</v>
      </c>
      <c r="B689" s="6">
        <v>2</v>
      </c>
      <c r="C689" s="6">
        <v>8</v>
      </c>
      <c r="D689" s="6">
        <v>2</v>
      </c>
      <c r="E689" s="6"/>
      <c r="F689" s="7">
        <f t="shared" si="89"/>
        <v>4</v>
      </c>
      <c r="G689" s="6"/>
      <c r="H689" s="6"/>
      <c r="I689" s="7"/>
      <c r="J689" s="6"/>
      <c r="K689" s="6"/>
      <c r="L689" s="6">
        <v>2</v>
      </c>
      <c r="M689" s="6">
        <v>8</v>
      </c>
      <c r="N689" s="6">
        <v>2</v>
      </c>
      <c r="O689" s="6"/>
      <c r="P689" s="7">
        <f t="shared" si="81"/>
        <v>4</v>
      </c>
      <c r="Q689" s="6"/>
      <c r="R689" s="6"/>
      <c r="S689" s="7"/>
      <c r="T689" s="6"/>
      <c r="Y689" s="13"/>
      <c r="AB689" s="13"/>
      <c r="AD689" s="6"/>
      <c r="AE689" s="8" t="s">
        <v>41</v>
      </c>
    </row>
    <row r="690" spans="1:31" x14ac:dyDescent="0.25">
      <c r="A690" s="6" t="s">
        <v>494</v>
      </c>
      <c r="B690" s="6">
        <v>33</v>
      </c>
      <c r="C690" s="6">
        <v>833</v>
      </c>
      <c r="D690" s="6">
        <v>32</v>
      </c>
      <c r="E690" s="6">
        <v>3</v>
      </c>
      <c r="F690" s="7">
        <f t="shared" si="89"/>
        <v>28.724137931034484</v>
      </c>
      <c r="G690" s="6">
        <v>31</v>
      </c>
      <c r="H690" s="6">
        <v>525</v>
      </c>
      <c r="I690" s="7">
        <f t="shared" si="91"/>
        <v>16.93548387096774</v>
      </c>
      <c r="J690" s="6"/>
      <c r="K690" s="6"/>
      <c r="L690" s="6"/>
      <c r="M690" s="6"/>
      <c r="N690" s="6"/>
      <c r="O690" s="6"/>
      <c r="P690" s="7"/>
      <c r="Q690" s="6"/>
      <c r="R690" s="6"/>
      <c r="S690" s="7"/>
      <c r="T690" s="6"/>
      <c r="Y690" s="13"/>
      <c r="AA690" s="6"/>
      <c r="AB690" s="13"/>
    </row>
    <row r="691" spans="1:31" x14ac:dyDescent="0.25">
      <c r="A691" s="6" t="s">
        <v>949</v>
      </c>
      <c r="B691" s="6">
        <v>0.5</v>
      </c>
      <c r="C691" s="6"/>
      <c r="D691" s="6">
        <v>1</v>
      </c>
      <c r="E691" s="6">
        <v>1</v>
      </c>
      <c r="F691" s="7"/>
      <c r="G691" s="6">
        <v>1</v>
      </c>
      <c r="H691" s="6">
        <v>26</v>
      </c>
      <c r="I691" s="7">
        <f t="shared" si="91"/>
        <v>26</v>
      </c>
      <c r="J691" s="6"/>
      <c r="K691" s="6"/>
      <c r="L691" s="6"/>
      <c r="M691" s="6"/>
      <c r="N691" s="6"/>
      <c r="O691" s="6"/>
      <c r="P691" s="7"/>
      <c r="Q691" s="6"/>
      <c r="R691" s="6"/>
      <c r="S691" s="7"/>
      <c r="T691" s="6"/>
      <c r="Y691" s="13"/>
      <c r="AA691" s="6"/>
      <c r="AB691" s="13"/>
      <c r="AD691" s="8"/>
      <c r="AE691" s="8" t="s">
        <v>950</v>
      </c>
    </row>
    <row r="692" spans="1:31" x14ac:dyDescent="0.25">
      <c r="A692" s="6" t="s">
        <v>495</v>
      </c>
      <c r="B692" s="6">
        <v>2</v>
      </c>
      <c r="C692" s="6">
        <v>50</v>
      </c>
      <c r="D692" s="6">
        <v>1</v>
      </c>
      <c r="E692" s="6">
        <v>1</v>
      </c>
      <c r="F692" s="7"/>
      <c r="G692" s="6">
        <v>2</v>
      </c>
      <c r="H692" s="6">
        <v>60</v>
      </c>
      <c r="I692" s="7">
        <f t="shared" si="91"/>
        <v>30</v>
      </c>
      <c r="J692" s="6"/>
      <c r="K692" s="6"/>
      <c r="L692" s="6">
        <v>2</v>
      </c>
      <c r="M692" s="6">
        <v>50</v>
      </c>
      <c r="N692" s="6">
        <v>1</v>
      </c>
      <c r="O692" s="6">
        <v>1</v>
      </c>
      <c r="P692" s="7"/>
      <c r="Q692" s="6">
        <v>2</v>
      </c>
      <c r="R692" s="6">
        <v>60</v>
      </c>
      <c r="S692" s="7">
        <f t="shared" si="84"/>
        <v>30</v>
      </c>
      <c r="T692" s="6"/>
      <c r="Y692" s="13"/>
      <c r="AB692" s="13"/>
      <c r="AD692" s="6"/>
      <c r="AE692" s="8" t="s">
        <v>41</v>
      </c>
    </row>
    <row r="693" spans="1:31" x14ac:dyDescent="0.25">
      <c r="A693" s="6" t="s">
        <v>496</v>
      </c>
      <c r="B693" s="6">
        <v>1</v>
      </c>
      <c r="C693" s="6">
        <v>21</v>
      </c>
      <c r="D693" s="6">
        <v>1</v>
      </c>
      <c r="E693" s="6">
        <v>1</v>
      </c>
      <c r="F693" s="7"/>
      <c r="G693" s="6"/>
      <c r="H693" s="6"/>
      <c r="I693" s="7"/>
      <c r="J693" s="6"/>
      <c r="K693" s="6"/>
      <c r="L693" s="6">
        <v>1</v>
      </c>
      <c r="M693" s="6">
        <v>21</v>
      </c>
      <c r="N693" s="6">
        <v>1</v>
      </c>
      <c r="O693" s="6">
        <v>1</v>
      </c>
      <c r="P693" s="7"/>
      <c r="Q693" s="6"/>
      <c r="R693" s="6"/>
      <c r="S693" s="7"/>
      <c r="T693" s="6"/>
      <c r="Y693" s="13"/>
      <c r="AA693" s="20"/>
      <c r="AB693" s="13"/>
      <c r="AD693" s="6"/>
      <c r="AE693" s="8" t="s">
        <v>23</v>
      </c>
    </row>
    <row r="694" spans="1:31" x14ac:dyDescent="0.25">
      <c r="A694" s="6" t="s">
        <v>497</v>
      </c>
      <c r="B694" s="6">
        <v>96</v>
      </c>
      <c r="C694" s="6">
        <v>1489</v>
      </c>
      <c r="D694" s="6">
        <v>90</v>
      </c>
      <c r="E694" s="6">
        <v>5</v>
      </c>
      <c r="F694" s="7">
        <f t="shared" si="89"/>
        <v>17.517647058823531</v>
      </c>
      <c r="G694" s="6">
        <v>36</v>
      </c>
      <c r="H694" s="6">
        <v>738</v>
      </c>
      <c r="I694" s="7">
        <f t="shared" si="91"/>
        <v>20.5</v>
      </c>
      <c r="J694" s="6"/>
      <c r="K694" s="6"/>
      <c r="L694" s="6"/>
      <c r="M694" s="6"/>
      <c r="N694" s="6"/>
      <c r="O694" s="6"/>
      <c r="P694" s="7"/>
      <c r="Q694" s="6"/>
      <c r="R694" s="6"/>
      <c r="S694" s="7"/>
      <c r="T694" s="6"/>
      <c r="Y694" s="13"/>
      <c r="AA694" s="6"/>
      <c r="AB694" s="13"/>
    </row>
    <row r="695" spans="1:31" x14ac:dyDescent="0.25">
      <c r="A695" s="6" t="s">
        <v>498</v>
      </c>
      <c r="B695" s="6">
        <v>78.5</v>
      </c>
      <c r="C695" s="6">
        <v>1898</v>
      </c>
      <c r="D695" s="6">
        <v>84</v>
      </c>
      <c r="E695" s="6">
        <v>7</v>
      </c>
      <c r="F695" s="7">
        <f t="shared" si="89"/>
        <v>24.649350649350648</v>
      </c>
      <c r="G695" s="6">
        <v>2</v>
      </c>
      <c r="H695" s="6">
        <v>68</v>
      </c>
      <c r="I695" s="7">
        <f t="shared" si="91"/>
        <v>34</v>
      </c>
      <c r="J695" s="6"/>
      <c r="K695" s="6"/>
      <c r="L695" s="6">
        <v>16</v>
      </c>
      <c r="M695" s="6">
        <v>411</v>
      </c>
      <c r="N695" s="6">
        <v>15</v>
      </c>
      <c r="O695" s="6">
        <v>4</v>
      </c>
      <c r="P695" s="7">
        <f t="shared" si="81"/>
        <v>37.363636363636367</v>
      </c>
      <c r="Q695" s="6">
        <v>1</v>
      </c>
      <c r="R695" s="6">
        <v>41</v>
      </c>
      <c r="S695" s="7">
        <f t="shared" si="84"/>
        <v>41</v>
      </c>
      <c r="T695" s="6"/>
      <c r="Y695" s="13"/>
      <c r="AB695" s="13"/>
      <c r="AD695" s="6"/>
      <c r="AE695" s="8" t="s">
        <v>499</v>
      </c>
    </row>
    <row r="696" spans="1:31" x14ac:dyDescent="0.25">
      <c r="A696" s="6" t="s">
        <v>1003</v>
      </c>
      <c r="B696" s="6">
        <v>0.5</v>
      </c>
      <c r="C696" s="6"/>
      <c r="D696" s="6">
        <v>1</v>
      </c>
      <c r="E696" s="6"/>
      <c r="F696" s="7"/>
      <c r="G696" s="6">
        <v>2</v>
      </c>
      <c r="H696" s="6">
        <v>5</v>
      </c>
      <c r="I696" s="7">
        <f t="shared" si="91"/>
        <v>2.5</v>
      </c>
      <c r="J696" s="6"/>
      <c r="K696" s="6"/>
      <c r="L696" s="6"/>
      <c r="M696" s="6"/>
      <c r="N696" s="6"/>
      <c r="O696" s="6"/>
      <c r="P696" s="7"/>
      <c r="Q696" s="6"/>
      <c r="R696" s="6"/>
      <c r="S696" s="7"/>
      <c r="T696" s="6"/>
      <c r="U696" s="13">
        <v>1</v>
      </c>
      <c r="V696" s="13"/>
      <c r="W696" s="13">
        <v>1</v>
      </c>
      <c r="X696" s="13"/>
      <c r="Y696" s="13">
        <f t="shared" si="88"/>
        <v>0</v>
      </c>
      <c r="Z696" s="13">
        <v>2</v>
      </c>
      <c r="AA696" s="13">
        <v>5</v>
      </c>
      <c r="AB696" s="13">
        <f t="shared" ref="AB696" si="93">AA696/Z696</f>
        <v>2.5</v>
      </c>
      <c r="AD696" s="6"/>
      <c r="AE696" s="8" t="s">
        <v>939</v>
      </c>
    </row>
    <row r="697" spans="1:31" x14ac:dyDescent="0.25">
      <c r="A697" s="6" t="s">
        <v>500</v>
      </c>
      <c r="B697" s="6">
        <v>5</v>
      </c>
      <c r="C697" s="6">
        <v>29</v>
      </c>
      <c r="D697" s="6">
        <v>6</v>
      </c>
      <c r="E697" s="6">
        <v>2</v>
      </c>
      <c r="F697" s="7">
        <f t="shared" si="89"/>
        <v>7.25</v>
      </c>
      <c r="G697" s="6">
        <v>2</v>
      </c>
      <c r="H697" s="6">
        <v>106</v>
      </c>
      <c r="I697" s="7">
        <f t="shared" si="91"/>
        <v>53</v>
      </c>
      <c r="J697" s="6"/>
      <c r="K697" s="6"/>
      <c r="L697" s="6">
        <v>8</v>
      </c>
      <c r="M697" s="6">
        <v>29</v>
      </c>
      <c r="N697" s="6">
        <v>6</v>
      </c>
      <c r="O697" s="6">
        <v>2</v>
      </c>
      <c r="P697" s="7">
        <f t="shared" si="81"/>
        <v>7.25</v>
      </c>
      <c r="Q697" s="6">
        <v>2</v>
      </c>
      <c r="R697" s="6">
        <v>106</v>
      </c>
      <c r="S697" s="7">
        <f t="shared" si="84"/>
        <v>53</v>
      </c>
      <c r="T697" s="6"/>
      <c r="Y697" s="13"/>
      <c r="AB697" s="13"/>
      <c r="AD697" s="6"/>
      <c r="AE697" s="8" t="s">
        <v>116</v>
      </c>
    </row>
    <row r="698" spans="1:31" x14ac:dyDescent="0.25">
      <c r="A698" s="6" t="s">
        <v>501</v>
      </c>
      <c r="B698" s="6">
        <v>17</v>
      </c>
      <c r="C698" s="6">
        <v>66</v>
      </c>
      <c r="D698" s="6">
        <v>11</v>
      </c>
      <c r="E698" s="6">
        <v>2</v>
      </c>
      <c r="F698" s="7">
        <f t="shared" si="89"/>
        <v>7.333333333333333</v>
      </c>
      <c r="G698" s="6">
        <v>1</v>
      </c>
      <c r="H698" s="6">
        <v>11</v>
      </c>
      <c r="I698" s="7">
        <f t="shared" si="91"/>
        <v>11</v>
      </c>
      <c r="J698" s="6"/>
      <c r="K698" s="6"/>
      <c r="L698" s="6"/>
      <c r="M698" s="6"/>
      <c r="N698" s="6"/>
      <c r="O698" s="6"/>
      <c r="P698" s="7"/>
      <c r="Q698" s="6"/>
      <c r="R698" s="6"/>
      <c r="S698" s="7"/>
      <c r="T698" s="6"/>
      <c r="Y698" s="13"/>
      <c r="AA698" s="6"/>
      <c r="AB698" s="13"/>
    </row>
    <row r="699" spans="1:31" x14ac:dyDescent="0.25">
      <c r="A699" s="6" t="s">
        <v>502</v>
      </c>
      <c r="B699" s="6">
        <v>25</v>
      </c>
      <c r="C699" s="6">
        <v>390</v>
      </c>
      <c r="D699" s="6">
        <v>32</v>
      </c>
      <c r="E699" s="6">
        <v>6</v>
      </c>
      <c r="F699" s="7">
        <f t="shared" si="89"/>
        <v>15</v>
      </c>
      <c r="G699" s="6">
        <v>5</v>
      </c>
      <c r="H699" s="6">
        <v>76</v>
      </c>
      <c r="I699" s="7">
        <f t="shared" si="91"/>
        <v>15.2</v>
      </c>
      <c r="J699" s="6"/>
      <c r="K699" s="6"/>
      <c r="L699" s="6"/>
      <c r="M699" s="6"/>
      <c r="N699" s="6"/>
      <c r="O699" s="6"/>
      <c r="P699" s="7"/>
      <c r="Q699" s="6"/>
      <c r="R699" s="6"/>
      <c r="S699" s="7"/>
      <c r="T699" s="6"/>
      <c r="U699" s="13"/>
      <c r="V699" s="13"/>
      <c r="W699" s="13"/>
      <c r="X699" s="13"/>
      <c r="Y699" s="13"/>
      <c r="Z699" s="13"/>
      <c r="AA699" s="13"/>
      <c r="AB699" s="13"/>
    </row>
    <row r="700" spans="1:31" x14ac:dyDescent="0.25">
      <c r="A700" s="6" t="s">
        <v>977</v>
      </c>
      <c r="B700" s="6">
        <v>62</v>
      </c>
      <c r="C700" s="6">
        <v>542</v>
      </c>
      <c r="D700" s="6">
        <v>48</v>
      </c>
      <c r="E700" s="6">
        <v>16</v>
      </c>
      <c r="F700" s="7">
        <f t="shared" si="89"/>
        <v>16.9375</v>
      </c>
      <c r="G700" s="6">
        <v>81</v>
      </c>
      <c r="H700" s="6">
        <v>2107</v>
      </c>
      <c r="I700" s="7">
        <f t="shared" si="91"/>
        <v>26.012345679012345</v>
      </c>
      <c r="J700" s="6"/>
      <c r="K700" s="6"/>
      <c r="L700" s="6"/>
      <c r="M700" s="6"/>
      <c r="N700" s="6"/>
      <c r="O700" s="6"/>
      <c r="P700" s="7"/>
      <c r="Q700" s="6"/>
      <c r="R700" s="6"/>
      <c r="S700" s="7"/>
      <c r="T700" s="6"/>
      <c r="U700" s="13">
        <v>14</v>
      </c>
      <c r="V700" s="13">
        <v>20</v>
      </c>
      <c r="W700" s="13">
        <v>5</v>
      </c>
      <c r="X700" s="13">
        <v>4</v>
      </c>
      <c r="Y700" s="13">
        <f t="shared" si="88"/>
        <v>20</v>
      </c>
      <c r="Z700" s="13">
        <v>9</v>
      </c>
      <c r="AA700" s="13">
        <v>280</v>
      </c>
      <c r="AB700" s="13">
        <f t="shared" ref="AB700:AB753" si="94">AA700/Z700</f>
        <v>31.111111111111111</v>
      </c>
      <c r="AE700" s="8" t="s">
        <v>1168</v>
      </c>
    </row>
    <row r="701" spans="1:31" x14ac:dyDescent="0.25">
      <c r="A701" s="6" t="s">
        <v>503</v>
      </c>
      <c r="B701" s="6">
        <v>2</v>
      </c>
      <c r="C701" s="6">
        <v>1</v>
      </c>
      <c r="D701" s="6">
        <v>2</v>
      </c>
      <c r="E701" s="6">
        <v>1</v>
      </c>
      <c r="F701" s="7">
        <f t="shared" si="89"/>
        <v>1</v>
      </c>
      <c r="G701" s="6"/>
      <c r="H701" s="6"/>
      <c r="I701" s="7"/>
      <c r="J701" s="6"/>
      <c r="K701" s="6"/>
      <c r="L701" s="6"/>
      <c r="M701" s="6"/>
      <c r="N701" s="6"/>
      <c r="O701" s="6"/>
      <c r="P701" s="7"/>
      <c r="Q701" s="6"/>
      <c r="R701" s="6"/>
      <c r="S701" s="7"/>
      <c r="T701" s="6"/>
      <c r="Y701" s="13"/>
      <c r="AA701" s="6"/>
      <c r="AB701" s="13"/>
    </row>
    <row r="702" spans="1:31" x14ac:dyDescent="0.25">
      <c r="A702" s="6" t="s">
        <v>504</v>
      </c>
      <c r="B702" s="6">
        <v>66</v>
      </c>
      <c r="C702" s="6">
        <v>240</v>
      </c>
      <c r="D702" s="6">
        <v>55</v>
      </c>
      <c r="E702" s="6">
        <v>9</v>
      </c>
      <c r="F702" s="7">
        <f t="shared" si="89"/>
        <v>5.2173913043478262</v>
      </c>
      <c r="G702" s="6">
        <v>57</v>
      </c>
      <c r="H702" s="6">
        <v>1071</v>
      </c>
      <c r="I702" s="7">
        <f t="shared" si="91"/>
        <v>18.789473684210527</v>
      </c>
      <c r="J702" s="6"/>
      <c r="K702" s="6"/>
      <c r="L702" s="6"/>
      <c r="M702" s="6"/>
      <c r="N702" s="6"/>
      <c r="O702" s="6"/>
      <c r="P702" s="7"/>
      <c r="Q702" s="6"/>
      <c r="R702" s="6"/>
      <c r="S702" s="7"/>
      <c r="T702" s="6"/>
      <c r="Y702" s="13"/>
      <c r="AA702" s="6"/>
      <c r="AB702" s="13"/>
    </row>
    <row r="703" spans="1:31" x14ac:dyDescent="0.25">
      <c r="A703" s="6" t="s">
        <v>711</v>
      </c>
      <c r="B703" s="6">
        <v>1</v>
      </c>
      <c r="C703" s="6">
        <v>4</v>
      </c>
      <c r="D703" s="6">
        <v>1</v>
      </c>
      <c r="E703" s="6"/>
      <c r="F703" s="7">
        <f t="shared" si="89"/>
        <v>4</v>
      </c>
      <c r="G703" s="6"/>
      <c r="H703" s="6"/>
      <c r="I703" s="7"/>
      <c r="J703" s="6"/>
      <c r="K703" s="6"/>
      <c r="L703" s="6">
        <v>1</v>
      </c>
      <c r="M703" s="6">
        <v>4</v>
      </c>
      <c r="N703" s="6">
        <v>1</v>
      </c>
      <c r="O703" s="6"/>
      <c r="P703" s="7">
        <f t="shared" si="81"/>
        <v>4</v>
      </c>
      <c r="Q703" s="6"/>
      <c r="R703" s="6"/>
      <c r="S703" s="7"/>
      <c r="T703" s="6"/>
      <c r="Y703" s="13"/>
      <c r="AA703" s="6"/>
      <c r="AB703" s="13"/>
      <c r="AD703" s="13"/>
      <c r="AE703" s="8" t="s">
        <v>23</v>
      </c>
    </row>
    <row r="704" spans="1:31" x14ac:dyDescent="0.25">
      <c r="A704" s="6" t="s">
        <v>712</v>
      </c>
      <c r="B704" s="6">
        <v>1</v>
      </c>
      <c r="C704" s="6">
        <v>41</v>
      </c>
      <c r="D704" s="6">
        <v>1</v>
      </c>
      <c r="E704" s="6"/>
      <c r="F704" s="7">
        <f t="shared" si="89"/>
        <v>41</v>
      </c>
      <c r="G704" s="6"/>
      <c r="H704" s="6"/>
      <c r="I704" s="7"/>
      <c r="J704" s="6"/>
      <c r="K704" s="6"/>
      <c r="L704" s="6">
        <v>1</v>
      </c>
      <c r="M704" s="6">
        <v>41</v>
      </c>
      <c r="N704" s="6">
        <v>1</v>
      </c>
      <c r="O704" s="6"/>
      <c r="P704" s="7">
        <f t="shared" si="81"/>
        <v>41</v>
      </c>
      <c r="Q704" s="6"/>
      <c r="R704" s="6"/>
      <c r="S704" s="7"/>
      <c r="T704" s="6"/>
      <c r="Y704" s="13"/>
      <c r="AA704" s="6"/>
      <c r="AB704" s="13"/>
      <c r="AD704" s="13"/>
      <c r="AE704" s="8" t="s">
        <v>23</v>
      </c>
    </row>
    <row r="705" spans="1:31" x14ac:dyDescent="0.25">
      <c r="A705" s="6" t="s">
        <v>794</v>
      </c>
      <c r="B705" s="6">
        <v>1</v>
      </c>
      <c r="C705" s="6">
        <v>41</v>
      </c>
      <c r="D705" s="6">
        <v>1</v>
      </c>
      <c r="E705" s="6"/>
      <c r="F705" s="7">
        <f t="shared" si="89"/>
        <v>41</v>
      </c>
      <c r="G705" s="6"/>
      <c r="H705" s="6">
        <v>27</v>
      </c>
      <c r="I705" s="7"/>
      <c r="J705" s="6"/>
      <c r="K705" s="6"/>
      <c r="L705" s="6">
        <v>1</v>
      </c>
      <c r="M705" s="6">
        <v>41</v>
      </c>
      <c r="N705" s="6">
        <v>1</v>
      </c>
      <c r="O705" s="6"/>
      <c r="P705" s="7">
        <f t="shared" si="81"/>
        <v>41</v>
      </c>
      <c r="Q705" s="6"/>
      <c r="R705" s="6">
        <v>27</v>
      </c>
      <c r="S705" s="10" t="s">
        <v>804</v>
      </c>
      <c r="T705" s="6"/>
      <c r="Y705" s="13"/>
      <c r="AA705" s="6"/>
      <c r="AB705" s="13"/>
      <c r="AD705" s="13"/>
      <c r="AE705" s="8" t="s">
        <v>23</v>
      </c>
    </row>
    <row r="706" spans="1:31" x14ac:dyDescent="0.25">
      <c r="A706" s="6" t="s">
        <v>505</v>
      </c>
      <c r="B706" s="6">
        <v>33</v>
      </c>
      <c r="C706" s="6">
        <v>220</v>
      </c>
      <c r="D706" s="6">
        <v>33</v>
      </c>
      <c r="E706" s="6">
        <v>11</v>
      </c>
      <c r="F706" s="7">
        <f t="shared" si="89"/>
        <v>10</v>
      </c>
      <c r="G706" s="6">
        <v>3</v>
      </c>
      <c r="H706" s="6">
        <v>45</v>
      </c>
      <c r="I706" s="7">
        <f t="shared" si="91"/>
        <v>15</v>
      </c>
      <c r="J706" s="6"/>
      <c r="K706" s="6"/>
      <c r="L706" s="6"/>
      <c r="M706" s="6"/>
      <c r="N706" s="6"/>
      <c r="O706" s="6"/>
      <c r="P706" s="7"/>
      <c r="Q706" s="6"/>
      <c r="R706" s="6"/>
      <c r="S706" s="7"/>
      <c r="T706" s="6"/>
      <c r="Y706" s="13"/>
      <c r="AA706" s="6"/>
      <c r="AB706" s="13"/>
    </row>
    <row r="707" spans="1:31" x14ac:dyDescent="0.25">
      <c r="A707" s="6" t="s">
        <v>506</v>
      </c>
      <c r="B707" s="6">
        <v>16</v>
      </c>
      <c r="C707" s="6">
        <v>40</v>
      </c>
      <c r="D707" s="6">
        <v>14</v>
      </c>
      <c r="E707" s="6">
        <v>5</v>
      </c>
      <c r="F707" s="7">
        <f t="shared" si="89"/>
        <v>4.4444444444444446</v>
      </c>
      <c r="G707" s="6">
        <v>3</v>
      </c>
      <c r="H707" s="6">
        <v>57</v>
      </c>
      <c r="I707" s="7">
        <f t="shared" si="91"/>
        <v>19</v>
      </c>
      <c r="J707" s="6"/>
      <c r="K707" s="6"/>
      <c r="L707" s="6"/>
      <c r="M707" s="6"/>
      <c r="N707" s="6"/>
      <c r="O707" s="6"/>
      <c r="P707" s="7"/>
      <c r="Q707" s="6"/>
      <c r="R707" s="6"/>
      <c r="S707" s="7"/>
      <c r="T707" s="6"/>
      <c r="Y707" s="13"/>
      <c r="AA707" s="6"/>
      <c r="AB707" s="13"/>
    </row>
    <row r="708" spans="1:31" x14ac:dyDescent="0.25">
      <c r="A708" s="6" t="s">
        <v>1071</v>
      </c>
      <c r="B708" s="6">
        <v>2</v>
      </c>
      <c r="C708" s="6"/>
      <c r="D708" s="6">
        <v>1</v>
      </c>
      <c r="E708" s="6"/>
      <c r="F708" s="7"/>
      <c r="G708" s="6"/>
      <c r="H708" s="6">
        <v>41</v>
      </c>
      <c r="I708" s="7"/>
      <c r="J708" s="6"/>
      <c r="K708" s="6"/>
      <c r="L708" s="6"/>
      <c r="M708" s="6"/>
      <c r="N708" s="6"/>
      <c r="O708" s="6"/>
      <c r="P708" s="7"/>
      <c r="Q708" s="6"/>
      <c r="R708" s="6"/>
      <c r="S708" s="7"/>
      <c r="T708" s="6"/>
      <c r="Y708" s="13"/>
      <c r="AA708" s="6"/>
      <c r="AB708" s="13"/>
      <c r="AE708" s="8" t="s">
        <v>1021</v>
      </c>
    </row>
    <row r="709" spans="1:31" x14ac:dyDescent="0.25">
      <c r="A709" s="6" t="s">
        <v>835</v>
      </c>
      <c r="B709" s="6">
        <v>4.5</v>
      </c>
      <c r="C709" s="6">
        <v>8</v>
      </c>
      <c r="D709" s="6">
        <v>3</v>
      </c>
      <c r="E709" s="6"/>
      <c r="F709" s="7">
        <f t="shared" si="89"/>
        <v>2.6666666666666665</v>
      </c>
      <c r="G709" s="6">
        <v>2</v>
      </c>
      <c r="H709" s="6">
        <v>8</v>
      </c>
      <c r="I709" s="7">
        <f t="shared" si="91"/>
        <v>4</v>
      </c>
      <c r="J709" s="6"/>
      <c r="K709" s="6"/>
      <c r="L709" s="6">
        <v>3</v>
      </c>
      <c r="M709" s="6">
        <v>8</v>
      </c>
      <c r="N709" s="6">
        <v>3</v>
      </c>
      <c r="O709" s="6"/>
      <c r="P709" s="7">
        <f t="shared" ref="P709:P806" si="95">(M709/(N709-O709))</f>
        <v>2.6666666666666665</v>
      </c>
      <c r="Q709" s="6">
        <v>2</v>
      </c>
      <c r="R709" s="6">
        <v>8</v>
      </c>
      <c r="S709" s="7">
        <f t="shared" ref="S709" si="96">(R709/Q709)</f>
        <v>4</v>
      </c>
      <c r="T709" s="6"/>
      <c r="Y709" s="13"/>
      <c r="AB709" s="13"/>
      <c r="AD709" s="6"/>
      <c r="AE709" s="8" t="s">
        <v>1072</v>
      </c>
    </row>
    <row r="710" spans="1:31" x14ac:dyDescent="0.25">
      <c r="A710" s="6" t="s">
        <v>507</v>
      </c>
      <c r="B710" s="6">
        <v>12</v>
      </c>
      <c r="C710" s="6">
        <v>103</v>
      </c>
      <c r="D710" s="6">
        <v>12</v>
      </c>
      <c r="E710" s="6">
        <v>2</v>
      </c>
      <c r="F710" s="7">
        <f t="shared" si="89"/>
        <v>10.3</v>
      </c>
      <c r="G710" s="6">
        <v>12</v>
      </c>
      <c r="H710" s="6">
        <v>294</v>
      </c>
      <c r="I710" s="7">
        <f t="shared" si="91"/>
        <v>24.5</v>
      </c>
      <c r="J710" s="6"/>
      <c r="K710" s="6"/>
      <c r="L710" s="6"/>
      <c r="M710" s="6"/>
      <c r="N710" s="6"/>
      <c r="O710" s="6"/>
      <c r="P710" s="7"/>
      <c r="Q710" s="6"/>
      <c r="R710" s="6"/>
      <c r="S710" s="7"/>
      <c r="T710" s="6"/>
      <c r="Y710" s="13"/>
      <c r="AA710" s="6"/>
      <c r="AB710" s="13"/>
    </row>
    <row r="711" spans="1:31" x14ac:dyDescent="0.25">
      <c r="A711" s="6" t="s">
        <v>1047</v>
      </c>
      <c r="B711" s="6">
        <v>3</v>
      </c>
      <c r="C711" s="6">
        <v>7</v>
      </c>
      <c r="D711" s="6">
        <v>1</v>
      </c>
      <c r="E711" s="6"/>
      <c r="F711" s="7">
        <f t="shared" si="89"/>
        <v>7</v>
      </c>
      <c r="G711" s="6">
        <v>4</v>
      </c>
      <c r="H711" s="6">
        <v>110</v>
      </c>
      <c r="I711" s="7">
        <f t="shared" si="91"/>
        <v>27.5</v>
      </c>
      <c r="J711" s="6"/>
      <c r="K711" s="6"/>
      <c r="L711" s="6"/>
      <c r="M711" s="6"/>
      <c r="N711" s="6"/>
      <c r="O711" s="6"/>
      <c r="P711" s="7"/>
      <c r="Q711" s="6"/>
      <c r="R711" s="6"/>
      <c r="S711" s="7"/>
      <c r="T711" s="6"/>
      <c r="Y711" s="13"/>
      <c r="AA711" s="6"/>
      <c r="AB711" s="13"/>
      <c r="AE711" s="1" t="s">
        <v>1048</v>
      </c>
    </row>
    <row r="712" spans="1:31" x14ac:dyDescent="0.25">
      <c r="A712" s="6" t="s">
        <v>1073</v>
      </c>
      <c r="B712" s="6">
        <v>0.5</v>
      </c>
      <c r="C712" s="6">
        <v>24</v>
      </c>
      <c r="D712" s="6">
        <v>1</v>
      </c>
      <c r="E712" s="6"/>
      <c r="F712" s="7">
        <f t="shared" si="89"/>
        <v>24</v>
      </c>
      <c r="G712" s="6"/>
      <c r="H712" s="6"/>
      <c r="I712" s="7"/>
      <c r="J712" s="6"/>
      <c r="K712" s="6"/>
      <c r="L712" s="6"/>
      <c r="M712" s="6"/>
      <c r="N712" s="6"/>
      <c r="O712" s="6"/>
      <c r="P712" s="7"/>
      <c r="Q712" s="6"/>
      <c r="R712" s="6"/>
      <c r="S712" s="7"/>
      <c r="T712" s="6"/>
      <c r="U712" s="13">
        <v>1</v>
      </c>
      <c r="V712" s="13">
        <v>24</v>
      </c>
      <c r="W712" s="13">
        <v>1</v>
      </c>
      <c r="Y712" s="13">
        <f t="shared" si="88"/>
        <v>24</v>
      </c>
      <c r="AA712" s="6">
        <v>14</v>
      </c>
      <c r="AB712" s="13"/>
      <c r="AE712" t="s">
        <v>939</v>
      </c>
    </row>
    <row r="713" spans="1:31" x14ac:dyDescent="0.25">
      <c r="A713" s="6" t="s">
        <v>861</v>
      </c>
      <c r="B713" s="6">
        <v>13</v>
      </c>
      <c r="C713" s="6">
        <v>22</v>
      </c>
      <c r="D713" s="6">
        <v>6</v>
      </c>
      <c r="E713" s="6">
        <v>2</v>
      </c>
      <c r="F713" s="7">
        <f t="shared" si="89"/>
        <v>5.5</v>
      </c>
      <c r="G713" s="6">
        <v>4</v>
      </c>
      <c r="H713" s="6">
        <v>68</v>
      </c>
      <c r="I713" s="7">
        <f t="shared" si="91"/>
        <v>17</v>
      </c>
      <c r="J713" s="6"/>
      <c r="K713" s="6"/>
      <c r="L713" s="6"/>
      <c r="M713" s="6"/>
      <c r="N713" s="6"/>
      <c r="O713" s="6"/>
      <c r="P713" s="7"/>
      <c r="Q713" s="6"/>
      <c r="R713" s="6"/>
      <c r="S713" s="7"/>
      <c r="T713" s="6"/>
      <c r="Y713" s="13"/>
      <c r="AA713" s="6"/>
      <c r="AB713" s="13"/>
    </row>
    <row r="714" spans="1:31" x14ac:dyDescent="0.25">
      <c r="A714" s="6" t="s">
        <v>862</v>
      </c>
      <c r="B714" s="6">
        <v>10</v>
      </c>
      <c r="C714" s="6"/>
      <c r="D714" s="6"/>
      <c r="E714" s="6"/>
      <c r="F714" s="7"/>
      <c r="G714" s="6">
        <v>5</v>
      </c>
      <c r="H714" s="6">
        <v>112</v>
      </c>
      <c r="I714" s="7">
        <f t="shared" si="91"/>
        <v>22.4</v>
      </c>
      <c r="J714" s="6"/>
      <c r="K714" s="6"/>
      <c r="L714" s="6"/>
      <c r="M714" s="6"/>
      <c r="N714" s="6"/>
      <c r="O714" s="6"/>
      <c r="P714" s="7"/>
      <c r="Q714" s="6"/>
      <c r="R714" s="6"/>
      <c r="S714" s="7"/>
      <c r="T714" s="6"/>
      <c r="Y714" s="13"/>
      <c r="AA714" s="6"/>
      <c r="AB714" s="13"/>
    </row>
    <row r="715" spans="1:31" x14ac:dyDescent="0.25">
      <c r="A715" s="6" t="s">
        <v>736</v>
      </c>
      <c r="B715" s="11">
        <v>179.5</v>
      </c>
      <c r="C715" s="6">
        <v>6055</v>
      </c>
      <c r="D715" s="6">
        <v>184</v>
      </c>
      <c r="E715" s="6">
        <v>23</v>
      </c>
      <c r="F715" s="7">
        <f t="shared" si="89"/>
        <v>37.608695652173914</v>
      </c>
      <c r="G715" s="6">
        <v>19</v>
      </c>
      <c r="H715" s="6">
        <v>621</v>
      </c>
      <c r="I715" s="7">
        <f t="shared" si="91"/>
        <v>32.684210526315788</v>
      </c>
      <c r="J715" s="6"/>
      <c r="K715" s="6"/>
      <c r="L715" s="6">
        <v>1</v>
      </c>
      <c r="M715" s="6">
        <v>36</v>
      </c>
      <c r="N715" s="6">
        <v>1</v>
      </c>
      <c r="O715" s="6"/>
      <c r="P715" s="7">
        <f t="shared" si="95"/>
        <v>36</v>
      </c>
      <c r="Q715" s="6"/>
      <c r="R715" s="6"/>
      <c r="S715" s="7"/>
      <c r="T715" s="6"/>
      <c r="U715" s="6">
        <v>17</v>
      </c>
      <c r="V715" s="6">
        <v>573</v>
      </c>
      <c r="W715" s="6">
        <v>17</v>
      </c>
      <c r="X715" s="6">
        <v>3</v>
      </c>
      <c r="Y715" s="13">
        <f t="shared" si="88"/>
        <v>40.928571428571431</v>
      </c>
      <c r="Z715" s="6"/>
      <c r="AA715" s="6">
        <v>16</v>
      </c>
      <c r="AB715" s="13"/>
      <c r="AC715" s="6"/>
      <c r="AD715" s="6"/>
      <c r="AE715" s="8" t="s">
        <v>1049</v>
      </c>
    </row>
    <row r="716" spans="1:31" x14ac:dyDescent="0.25">
      <c r="A716" s="6" t="s">
        <v>508</v>
      </c>
      <c r="B716" s="6">
        <v>136</v>
      </c>
      <c r="C716" s="6">
        <v>3633</v>
      </c>
      <c r="D716" s="6">
        <v>156</v>
      </c>
      <c r="E716" s="6">
        <v>14</v>
      </c>
      <c r="F716" s="7">
        <f t="shared" si="89"/>
        <v>25.58450704225352</v>
      </c>
      <c r="G716" s="6">
        <v>46</v>
      </c>
      <c r="H716" s="6">
        <v>1030</v>
      </c>
      <c r="I716" s="7">
        <f t="shared" si="91"/>
        <v>22.391304347826086</v>
      </c>
      <c r="J716" s="6"/>
      <c r="K716" s="6"/>
      <c r="L716" s="6">
        <v>52</v>
      </c>
      <c r="M716" s="6">
        <v>1146</v>
      </c>
      <c r="N716" s="6">
        <v>51</v>
      </c>
      <c r="O716" s="6">
        <v>5</v>
      </c>
      <c r="P716" s="7">
        <f t="shared" si="95"/>
        <v>24.913043478260871</v>
      </c>
      <c r="Q716" s="6">
        <v>20</v>
      </c>
      <c r="R716" s="6">
        <v>585</v>
      </c>
      <c r="S716" s="7">
        <f t="shared" ref="S716:S806" si="97">(R716/Q716)</f>
        <v>29.25</v>
      </c>
      <c r="T716" s="6"/>
      <c r="Y716" s="13"/>
      <c r="AB716" s="13"/>
      <c r="AD716" s="6"/>
      <c r="AE716" s="8" t="s">
        <v>1050</v>
      </c>
    </row>
    <row r="717" spans="1:31" x14ac:dyDescent="0.25">
      <c r="A717" s="6" t="s">
        <v>951</v>
      </c>
      <c r="B717" s="6">
        <v>110.5</v>
      </c>
      <c r="C717" s="6">
        <v>2691</v>
      </c>
      <c r="D717" s="6">
        <v>119</v>
      </c>
      <c r="E717" s="6">
        <v>30</v>
      </c>
      <c r="F717" s="7">
        <f t="shared" si="89"/>
        <v>30.235955056179776</v>
      </c>
      <c r="G717" s="6">
        <v>50</v>
      </c>
      <c r="H717" s="6">
        <v>1101</v>
      </c>
      <c r="I717" s="7">
        <f t="shared" si="91"/>
        <v>22.02</v>
      </c>
      <c r="J717" s="6"/>
      <c r="K717" s="6"/>
      <c r="L717" s="6"/>
      <c r="M717" s="6"/>
      <c r="N717" s="6"/>
      <c r="O717" s="6"/>
      <c r="P717" s="7"/>
      <c r="Q717" s="6"/>
      <c r="R717" s="6"/>
      <c r="S717" s="7"/>
      <c r="T717" s="6"/>
      <c r="U717" s="13">
        <v>12</v>
      </c>
      <c r="V717" s="13">
        <v>190</v>
      </c>
      <c r="W717" s="13">
        <v>12</v>
      </c>
      <c r="Y717" s="13">
        <f t="shared" si="88"/>
        <v>15.833333333333334</v>
      </c>
      <c r="Z717" s="13">
        <v>4</v>
      </c>
      <c r="AA717" s="13">
        <v>77</v>
      </c>
      <c r="AB717" s="13">
        <f t="shared" si="94"/>
        <v>19.25</v>
      </c>
      <c r="AD717" s="6"/>
      <c r="AE717" s="8" t="s">
        <v>1074</v>
      </c>
    </row>
    <row r="718" spans="1:31" x14ac:dyDescent="0.25">
      <c r="A718" s="6" t="s">
        <v>509</v>
      </c>
      <c r="B718" s="6">
        <v>12.5</v>
      </c>
      <c r="C718" s="6">
        <v>80</v>
      </c>
      <c r="D718" s="6">
        <v>11</v>
      </c>
      <c r="E718" s="6">
        <v>3</v>
      </c>
      <c r="F718" s="7">
        <f t="shared" si="89"/>
        <v>10</v>
      </c>
      <c r="G718" s="6">
        <v>4</v>
      </c>
      <c r="H718" s="6">
        <v>78</v>
      </c>
      <c r="I718" s="7">
        <f t="shared" si="91"/>
        <v>19.5</v>
      </c>
      <c r="J718" s="6"/>
      <c r="K718" s="6"/>
      <c r="L718" s="6">
        <v>16</v>
      </c>
      <c r="M718" s="6">
        <v>73</v>
      </c>
      <c r="N718" s="6">
        <v>10</v>
      </c>
      <c r="O718" s="6">
        <v>3</v>
      </c>
      <c r="P718" s="7">
        <f t="shared" si="95"/>
        <v>10.428571428571429</v>
      </c>
      <c r="Q718" s="6">
        <v>4</v>
      </c>
      <c r="R718" s="6">
        <v>78</v>
      </c>
      <c r="S718" s="7">
        <f t="shared" si="97"/>
        <v>19.5</v>
      </c>
      <c r="T718" s="6"/>
      <c r="Y718" s="13"/>
      <c r="AA718" s="13"/>
      <c r="AB718" s="13"/>
      <c r="AD718" s="6"/>
      <c r="AE718" s="8" t="s">
        <v>734</v>
      </c>
    </row>
    <row r="719" spans="1:31" x14ac:dyDescent="0.25">
      <c r="A719" s="6" t="s">
        <v>510</v>
      </c>
      <c r="B719" s="6">
        <v>67</v>
      </c>
      <c r="C719" s="6">
        <v>728</v>
      </c>
      <c r="D719" s="6">
        <v>54</v>
      </c>
      <c r="E719" s="6">
        <v>7</v>
      </c>
      <c r="F719" s="7">
        <f t="shared" si="89"/>
        <v>15.48936170212766</v>
      </c>
      <c r="G719" s="6">
        <v>148</v>
      </c>
      <c r="H719" s="6">
        <v>2330</v>
      </c>
      <c r="I719" s="7">
        <f t="shared" si="91"/>
        <v>15.743243243243244</v>
      </c>
      <c r="J719" s="6"/>
      <c r="K719" s="6"/>
      <c r="L719" s="6"/>
      <c r="M719" s="6"/>
      <c r="N719" s="6"/>
      <c r="O719" s="6"/>
      <c r="P719" s="7"/>
      <c r="Q719" s="6"/>
      <c r="R719" s="6"/>
      <c r="S719" s="7"/>
      <c r="T719" s="6"/>
      <c r="Y719" s="13"/>
      <c r="AA719" s="13"/>
      <c r="AB719" s="13"/>
    </row>
    <row r="720" spans="1:31" x14ac:dyDescent="0.25">
      <c r="A720" s="6" t="s">
        <v>1116</v>
      </c>
      <c r="B720" s="6"/>
      <c r="C720" s="6"/>
      <c r="D720" s="6"/>
      <c r="E720" s="6"/>
      <c r="F720" s="7"/>
      <c r="G720" s="6"/>
      <c r="H720" s="6"/>
      <c r="I720" s="7"/>
      <c r="J720" s="6"/>
      <c r="K720" s="6"/>
      <c r="L720" s="6"/>
      <c r="M720" s="6"/>
      <c r="N720" s="6"/>
      <c r="O720" s="6"/>
      <c r="P720" s="7"/>
      <c r="Q720" s="6"/>
      <c r="R720" s="6"/>
      <c r="S720" s="7"/>
      <c r="T720" s="6"/>
      <c r="U720" s="8">
        <v>1</v>
      </c>
      <c r="W720" s="8">
        <v>1</v>
      </c>
      <c r="Y720" s="13"/>
      <c r="Z720" s="8">
        <v>1</v>
      </c>
      <c r="AA720" s="13">
        <v>34</v>
      </c>
      <c r="AB720" s="13">
        <f t="shared" si="94"/>
        <v>34</v>
      </c>
    </row>
    <row r="721" spans="1:31" x14ac:dyDescent="0.25">
      <c r="A721" s="6" t="s">
        <v>511</v>
      </c>
      <c r="B721" s="6">
        <v>2</v>
      </c>
      <c r="C721" s="6">
        <v>25</v>
      </c>
      <c r="D721" s="6">
        <v>3</v>
      </c>
      <c r="E721" s="6"/>
      <c r="F721" s="7">
        <f t="shared" si="89"/>
        <v>8.3333333333333339</v>
      </c>
      <c r="G721" s="6"/>
      <c r="H721" s="6">
        <v>14</v>
      </c>
      <c r="I721" s="7"/>
      <c r="J721" s="6"/>
      <c r="K721" s="6"/>
      <c r="L721" s="6"/>
      <c r="M721" s="6"/>
      <c r="N721" s="6"/>
      <c r="O721" s="6"/>
      <c r="P721" s="7"/>
      <c r="Q721" s="6"/>
      <c r="R721" s="6"/>
      <c r="S721" s="7"/>
      <c r="T721" s="6"/>
      <c r="Y721" s="13"/>
      <c r="AA721" s="6"/>
      <c r="AB721" s="13"/>
    </row>
    <row r="722" spans="1:31" x14ac:dyDescent="0.25">
      <c r="A722" s="6" t="s">
        <v>512</v>
      </c>
      <c r="B722" s="6">
        <v>13</v>
      </c>
      <c r="C722" s="6">
        <v>305</v>
      </c>
      <c r="D722" s="6">
        <v>16</v>
      </c>
      <c r="E722" s="6">
        <v>1</v>
      </c>
      <c r="F722" s="7">
        <f t="shared" si="89"/>
        <v>20.333333333333332</v>
      </c>
      <c r="G722" s="6">
        <v>30</v>
      </c>
      <c r="H722" s="6">
        <v>487</v>
      </c>
      <c r="I722" s="7">
        <f t="shared" si="91"/>
        <v>16.233333333333334</v>
      </c>
      <c r="J722" s="6"/>
      <c r="K722" s="6"/>
      <c r="L722" s="6"/>
      <c r="M722" s="6"/>
      <c r="N722" s="6"/>
      <c r="O722" s="6"/>
      <c r="P722" s="7"/>
      <c r="Q722" s="6"/>
      <c r="R722" s="6"/>
      <c r="S722" s="7"/>
      <c r="T722" s="6"/>
      <c r="Y722" s="13"/>
      <c r="AA722" s="6"/>
      <c r="AB722" s="13"/>
    </row>
    <row r="723" spans="1:31" x14ac:dyDescent="0.25">
      <c r="A723" s="6" t="s">
        <v>513</v>
      </c>
      <c r="B723" s="6">
        <v>54</v>
      </c>
      <c r="C723" s="6">
        <v>1322</v>
      </c>
      <c r="D723" s="6">
        <v>72</v>
      </c>
      <c r="E723" s="6">
        <v>16</v>
      </c>
      <c r="F723" s="7">
        <f t="shared" si="89"/>
        <v>23.607142857142858</v>
      </c>
      <c r="G723" s="6">
        <v>92</v>
      </c>
      <c r="H723" s="6">
        <v>2439</v>
      </c>
      <c r="I723" s="7">
        <f t="shared" si="91"/>
        <v>26.510869565217391</v>
      </c>
      <c r="J723" s="6"/>
      <c r="K723" s="6"/>
      <c r="L723" s="6">
        <v>88</v>
      </c>
      <c r="M723" s="6">
        <v>1322</v>
      </c>
      <c r="N723" s="6">
        <v>72</v>
      </c>
      <c r="O723" s="6">
        <v>16</v>
      </c>
      <c r="P723" s="7">
        <f t="shared" si="95"/>
        <v>23.607142857142858</v>
      </c>
      <c r="Q723" s="6">
        <v>92</v>
      </c>
      <c r="R723" s="6">
        <v>2439</v>
      </c>
      <c r="S723" s="7">
        <f t="shared" si="97"/>
        <v>26.510869565217391</v>
      </c>
      <c r="T723" s="6"/>
      <c r="Y723" s="13"/>
      <c r="AB723" s="13"/>
      <c r="AD723" s="6"/>
      <c r="AE723" s="8" t="s">
        <v>675</v>
      </c>
    </row>
    <row r="724" spans="1:31" x14ac:dyDescent="0.25">
      <c r="A724" s="6" t="s">
        <v>514</v>
      </c>
      <c r="B724" s="6">
        <v>1</v>
      </c>
      <c r="C724" s="6"/>
      <c r="D724" s="6">
        <v>1</v>
      </c>
      <c r="E724" s="6"/>
      <c r="F724" s="7"/>
      <c r="G724" s="6"/>
      <c r="H724" s="6"/>
      <c r="I724" s="7"/>
      <c r="J724" s="6"/>
      <c r="K724" s="6"/>
      <c r="L724" s="6"/>
      <c r="M724" s="6"/>
      <c r="N724" s="6"/>
      <c r="O724" s="6"/>
      <c r="P724" s="7"/>
      <c r="Q724" s="6"/>
      <c r="R724" s="6"/>
      <c r="S724" s="7"/>
      <c r="T724" s="6"/>
      <c r="Y724" s="13"/>
      <c r="AA724" s="6"/>
      <c r="AB724" s="13"/>
    </row>
    <row r="725" spans="1:31" x14ac:dyDescent="0.25">
      <c r="A725" s="6" t="s">
        <v>650</v>
      </c>
      <c r="B725" s="6">
        <v>1</v>
      </c>
      <c r="C725" s="6">
        <v>2</v>
      </c>
      <c r="D725" s="6">
        <v>1</v>
      </c>
      <c r="E725" s="6"/>
      <c r="F725" s="7">
        <f t="shared" si="89"/>
        <v>2</v>
      </c>
      <c r="G725" s="6"/>
      <c r="H725" s="6"/>
      <c r="I725" s="7"/>
      <c r="J725" s="6"/>
      <c r="K725" s="6"/>
      <c r="L725" s="6">
        <v>1</v>
      </c>
      <c r="M725" s="6">
        <v>2</v>
      </c>
      <c r="N725" s="6">
        <v>1</v>
      </c>
      <c r="O725" s="6"/>
      <c r="P725" s="7">
        <f t="shared" si="95"/>
        <v>2</v>
      </c>
      <c r="Q725" s="6"/>
      <c r="R725" s="6"/>
      <c r="S725" s="7"/>
      <c r="T725" s="6"/>
      <c r="Y725" s="13"/>
      <c r="AB725" s="13"/>
      <c r="AD725" s="6"/>
      <c r="AE725" s="8" t="s">
        <v>23</v>
      </c>
    </row>
    <row r="726" spans="1:31" x14ac:dyDescent="0.25">
      <c r="A726" s="6" t="s">
        <v>515</v>
      </c>
      <c r="B726" s="6">
        <v>42</v>
      </c>
      <c r="C726" s="6">
        <v>667</v>
      </c>
      <c r="D726" s="6">
        <v>39</v>
      </c>
      <c r="E726" s="6">
        <v>7</v>
      </c>
      <c r="F726" s="7">
        <f t="shared" si="89"/>
        <v>20.84375</v>
      </c>
      <c r="G726" s="6">
        <v>62</v>
      </c>
      <c r="H726" s="6">
        <v>756</v>
      </c>
      <c r="I726" s="7">
        <f t="shared" si="91"/>
        <v>12.193548387096774</v>
      </c>
      <c r="J726" s="6"/>
      <c r="K726" s="6"/>
      <c r="L726" s="6"/>
      <c r="M726" s="6"/>
      <c r="N726" s="6"/>
      <c r="O726" s="6"/>
      <c r="P726" s="7"/>
      <c r="Q726" s="6"/>
      <c r="R726" s="6"/>
      <c r="S726" s="7"/>
      <c r="T726" s="6"/>
      <c r="Y726" s="13"/>
      <c r="AA726" s="6"/>
      <c r="AB726" s="13"/>
    </row>
    <row r="727" spans="1:31" x14ac:dyDescent="0.25">
      <c r="A727" s="6" t="s">
        <v>516</v>
      </c>
      <c r="B727" s="6">
        <v>5</v>
      </c>
      <c r="C727" s="6"/>
      <c r="D727" s="6">
        <v>2</v>
      </c>
      <c r="E727" s="6"/>
      <c r="F727" s="7"/>
      <c r="G727" s="6"/>
      <c r="H727" s="6">
        <v>5</v>
      </c>
      <c r="I727" s="7"/>
      <c r="J727" s="6"/>
      <c r="K727" s="6"/>
      <c r="L727" s="6"/>
      <c r="M727" s="6"/>
      <c r="N727" s="6"/>
      <c r="O727" s="6"/>
      <c r="P727" s="7"/>
      <c r="Q727" s="6"/>
      <c r="R727" s="6"/>
      <c r="S727" s="7"/>
      <c r="T727" s="6"/>
      <c r="Y727" s="13"/>
      <c r="AA727" s="6"/>
      <c r="AB727" s="13"/>
      <c r="AE727" s="1" t="s">
        <v>1171</v>
      </c>
    </row>
    <row r="728" spans="1:31" x14ac:dyDescent="0.25">
      <c r="A728" s="6" t="s">
        <v>1169</v>
      </c>
      <c r="B728" s="6" t="s">
        <v>1170</v>
      </c>
      <c r="C728" s="6">
        <v>32</v>
      </c>
      <c r="D728" s="6">
        <v>11</v>
      </c>
      <c r="E728" s="6">
        <v>1</v>
      </c>
      <c r="F728" s="7">
        <f t="shared" si="89"/>
        <v>3.2</v>
      </c>
      <c r="G728" s="6">
        <v>6</v>
      </c>
      <c r="H728" s="6">
        <v>250</v>
      </c>
      <c r="I728" s="7">
        <f t="shared" si="91"/>
        <v>41.666666666666664</v>
      </c>
      <c r="J728" s="6"/>
      <c r="K728" s="6"/>
      <c r="L728" s="6"/>
      <c r="M728" s="6"/>
      <c r="N728" s="6"/>
      <c r="O728" s="6"/>
      <c r="P728" s="7"/>
      <c r="Q728" s="6"/>
      <c r="R728" s="6"/>
      <c r="S728" s="7"/>
      <c r="T728" s="6"/>
      <c r="Y728" s="13"/>
      <c r="AA728" s="6"/>
      <c r="AB728" s="13"/>
    </row>
    <row r="729" spans="1:31" x14ac:dyDescent="0.25">
      <c r="A729" s="6" t="s">
        <v>517</v>
      </c>
      <c r="B729" s="6">
        <v>1</v>
      </c>
      <c r="C729" s="6"/>
      <c r="D729" s="6"/>
      <c r="E729" s="6"/>
      <c r="F729" s="7"/>
      <c r="G729" s="6"/>
      <c r="H729" s="6">
        <v>2</v>
      </c>
      <c r="I729" s="7"/>
      <c r="J729" s="6"/>
      <c r="K729" s="6"/>
      <c r="L729" s="6"/>
      <c r="M729" s="6"/>
      <c r="N729" s="6"/>
      <c r="O729" s="6"/>
      <c r="P729" s="7"/>
      <c r="Q729" s="6"/>
      <c r="R729" s="6"/>
      <c r="S729" s="7"/>
      <c r="T729" s="6"/>
      <c r="Y729" s="13"/>
      <c r="AA729" s="6"/>
      <c r="AB729" s="13"/>
    </row>
    <row r="730" spans="1:31" x14ac:dyDescent="0.25">
      <c r="A730" s="6" t="s">
        <v>518</v>
      </c>
      <c r="B730" s="6">
        <v>54</v>
      </c>
      <c r="C730" s="6">
        <v>970</v>
      </c>
      <c r="D730" s="6">
        <v>54</v>
      </c>
      <c r="E730" s="6">
        <v>11</v>
      </c>
      <c r="F730" s="7">
        <f t="shared" si="89"/>
        <v>22.558139534883722</v>
      </c>
      <c r="G730" s="6">
        <v>18</v>
      </c>
      <c r="H730" s="6">
        <v>229</v>
      </c>
      <c r="I730" s="7">
        <f t="shared" si="91"/>
        <v>12.722222222222221</v>
      </c>
      <c r="J730" s="6"/>
      <c r="K730" s="6"/>
      <c r="L730" s="6"/>
      <c r="M730" s="6"/>
      <c r="N730" s="6"/>
      <c r="O730" s="6"/>
      <c r="P730" s="7"/>
      <c r="Q730" s="6"/>
      <c r="R730" s="6"/>
      <c r="S730" s="7"/>
      <c r="T730" s="6"/>
      <c r="Y730" s="13"/>
      <c r="AA730" s="6"/>
      <c r="AB730" s="13"/>
    </row>
    <row r="731" spans="1:31" x14ac:dyDescent="0.25">
      <c r="A731" s="6" t="s">
        <v>1172</v>
      </c>
      <c r="B731" s="6">
        <v>11.5</v>
      </c>
      <c r="C731" s="6">
        <v>53</v>
      </c>
      <c r="D731" s="6">
        <v>7</v>
      </c>
      <c r="E731" s="6">
        <v>2</v>
      </c>
      <c r="F731" s="7">
        <f t="shared" si="89"/>
        <v>10.6</v>
      </c>
      <c r="G731" s="6">
        <v>15</v>
      </c>
      <c r="H731" s="6">
        <v>241</v>
      </c>
      <c r="I731" s="7">
        <f t="shared" si="91"/>
        <v>16.066666666666666</v>
      </c>
      <c r="J731" s="6"/>
      <c r="K731" s="6"/>
      <c r="L731" s="6"/>
      <c r="M731" s="6"/>
      <c r="N731" s="6"/>
      <c r="O731" s="6"/>
      <c r="P731" s="7"/>
      <c r="Q731" s="6"/>
      <c r="R731" s="6"/>
      <c r="S731" s="7"/>
      <c r="T731" s="6"/>
      <c r="Y731" s="13"/>
      <c r="AA731" s="6"/>
      <c r="AB731" s="13"/>
      <c r="AE731" s="1" t="s">
        <v>1173</v>
      </c>
    </row>
    <row r="732" spans="1:31" x14ac:dyDescent="0.25">
      <c r="A732" s="6" t="s">
        <v>767</v>
      </c>
      <c r="B732" s="6"/>
      <c r="C732" s="6"/>
      <c r="D732" s="6"/>
      <c r="E732" s="6"/>
      <c r="F732" s="7"/>
      <c r="G732" s="6"/>
      <c r="H732" s="6"/>
      <c r="I732" s="7"/>
      <c r="J732" s="6"/>
      <c r="K732" s="6"/>
      <c r="L732" s="6"/>
      <c r="M732" s="6"/>
      <c r="N732" s="6"/>
      <c r="O732" s="6"/>
      <c r="P732" s="7"/>
      <c r="Q732" s="6"/>
      <c r="R732" s="6"/>
      <c r="S732" s="7"/>
      <c r="T732" s="6"/>
      <c r="Y732" s="13"/>
      <c r="AA732" s="6"/>
      <c r="AB732" s="13"/>
    </row>
    <row r="733" spans="1:31" x14ac:dyDescent="0.25">
      <c r="A733" s="6" t="s">
        <v>766</v>
      </c>
      <c r="B733" s="6">
        <v>18</v>
      </c>
      <c r="C733" s="6">
        <v>444</v>
      </c>
      <c r="D733" s="6">
        <v>21</v>
      </c>
      <c r="E733" s="6">
        <v>6</v>
      </c>
      <c r="F733" s="7">
        <f t="shared" si="89"/>
        <v>29.6</v>
      </c>
      <c r="G733" s="6">
        <v>18</v>
      </c>
      <c r="H733" s="6">
        <v>400</v>
      </c>
      <c r="I733" s="7">
        <f t="shared" si="91"/>
        <v>22.222222222222221</v>
      </c>
      <c r="J733" s="6"/>
      <c r="K733" s="6"/>
      <c r="L733" s="6">
        <v>9</v>
      </c>
      <c r="M733" s="6">
        <v>272</v>
      </c>
      <c r="N733" s="6">
        <v>9</v>
      </c>
      <c r="O733" s="6">
        <v>3</v>
      </c>
      <c r="P733" s="7">
        <f t="shared" si="95"/>
        <v>45.333333333333336</v>
      </c>
      <c r="Q733" s="6">
        <v>10</v>
      </c>
      <c r="R733" s="6">
        <v>235</v>
      </c>
      <c r="S733" s="7">
        <f t="shared" si="97"/>
        <v>23.5</v>
      </c>
      <c r="T733" s="6"/>
      <c r="Y733" s="13"/>
      <c r="AB733" s="13"/>
      <c r="AD733" s="6"/>
      <c r="AE733" s="8" t="s">
        <v>747</v>
      </c>
    </row>
    <row r="734" spans="1:31" x14ac:dyDescent="0.25">
      <c r="A734" s="6" t="s">
        <v>1174</v>
      </c>
      <c r="B734" s="6">
        <v>5.5</v>
      </c>
      <c r="C734" s="6">
        <v>102</v>
      </c>
      <c r="D734" s="6">
        <v>6</v>
      </c>
      <c r="E734" s="6">
        <v>1</v>
      </c>
      <c r="F734" s="7">
        <f t="shared" si="89"/>
        <v>20.399999999999999</v>
      </c>
      <c r="G734" s="6">
        <v>4</v>
      </c>
      <c r="H734" s="6">
        <v>112</v>
      </c>
      <c r="I734" s="7">
        <f t="shared" si="91"/>
        <v>28</v>
      </c>
      <c r="J734" s="6"/>
      <c r="K734" s="6"/>
      <c r="L734" s="6"/>
      <c r="M734" s="6"/>
      <c r="N734" s="6"/>
      <c r="O734" s="6"/>
      <c r="P734" s="7"/>
      <c r="Q734" s="6"/>
      <c r="R734" s="6"/>
      <c r="S734" s="7"/>
      <c r="T734" s="6"/>
      <c r="Y734" s="13"/>
      <c r="AB734" s="13"/>
      <c r="AD734" s="6"/>
      <c r="AE734" s="8" t="s">
        <v>1175</v>
      </c>
    </row>
    <row r="735" spans="1:31" x14ac:dyDescent="0.25">
      <c r="A735" s="6" t="s">
        <v>519</v>
      </c>
      <c r="B735" s="6">
        <v>46</v>
      </c>
      <c r="C735" s="6">
        <v>731</v>
      </c>
      <c r="D735" s="6">
        <v>50</v>
      </c>
      <c r="E735" s="6">
        <v>3</v>
      </c>
      <c r="F735" s="7">
        <f t="shared" si="89"/>
        <v>15.553191489361701</v>
      </c>
      <c r="G735" s="6">
        <v>10</v>
      </c>
      <c r="H735" s="6">
        <v>231</v>
      </c>
      <c r="I735" s="7">
        <f t="shared" si="91"/>
        <v>23.1</v>
      </c>
      <c r="J735" s="6"/>
      <c r="K735" s="6"/>
      <c r="L735" s="6"/>
      <c r="M735" s="6"/>
      <c r="N735" s="6"/>
      <c r="O735" s="6"/>
      <c r="P735" s="7"/>
      <c r="Q735" s="6"/>
      <c r="R735" s="6"/>
      <c r="S735" s="7"/>
      <c r="T735" s="6"/>
      <c r="Y735" s="13"/>
      <c r="AA735" s="6"/>
      <c r="AB735" s="13"/>
    </row>
    <row r="736" spans="1:31" x14ac:dyDescent="0.25">
      <c r="A736" s="6" t="s">
        <v>1075</v>
      </c>
      <c r="B736" s="6">
        <v>22</v>
      </c>
      <c r="C736" s="6">
        <v>127</v>
      </c>
      <c r="D736" s="6">
        <v>19</v>
      </c>
      <c r="E736" s="6">
        <v>2</v>
      </c>
      <c r="F736" s="7">
        <f t="shared" si="89"/>
        <v>7.4705882352941178</v>
      </c>
      <c r="G736" s="6">
        <v>11</v>
      </c>
      <c r="H736" s="6">
        <v>271</v>
      </c>
      <c r="I736" s="7">
        <f t="shared" si="91"/>
        <v>24.636363636363637</v>
      </c>
      <c r="J736" s="6"/>
      <c r="K736" s="6"/>
      <c r="L736" s="6"/>
      <c r="M736" s="6"/>
      <c r="N736" s="6"/>
      <c r="O736" s="6"/>
      <c r="P736" s="7"/>
      <c r="Q736" s="6"/>
      <c r="R736" s="6"/>
      <c r="S736" s="7"/>
      <c r="T736" s="6"/>
      <c r="U736" s="13">
        <v>8</v>
      </c>
      <c r="V736" s="13">
        <v>14</v>
      </c>
      <c r="W736" s="13">
        <v>4</v>
      </c>
      <c r="X736" s="13">
        <v>1</v>
      </c>
      <c r="Y736" s="13">
        <f t="shared" ref="Y736:Y753" si="98">(V736/(W736-X736))</f>
        <v>4.666666666666667</v>
      </c>
      <c r="Z736" s="13">
        <v>2</v>
      </c>
      <c r="AA736" s="6">
        <v>30</v>
      </c>
      <c r="AB736" s="13">
        <f t="shared" si="94"/>
        <v>15</v>
      </c>
      <c r="AE736" s="13" t="s">
        <v>1176</v>
      </c>
    </row>
    <row r="737" spans="1:31" x14ac:dyDescent="0.25">
      <c r="A737" s="6" t="s">
        <v>713</v>
      </c>
      <c r="B737" s="6">
        <v>8</v>
      </c>
      <c r="C737" s="6">
        <v>85</v>
      </c>
      <c r="D737" s="6">
        <v>9</v>
      </c>
      <c r="E737" s="6">
        <v>2</v>
      </c>
      <c r="F737" s="7">
        <f t="shared" si="89"/>
        <v>12.142857142857142</v>
      </c>
      <c r="G737" s="6">
        <v>6</v>
      </c>
      <c r="H737" s="6">
        <v>81</v>
      </c>
      <c r="I737" s="7">
        <f t="shared" si="91"/>
        <v>13.5</v>
      </c>
      <c r="J737" s="6"/>
      <c r="K737" s="6"/>
      <c r="L737" s="6">
        <v>2</v>
      </c>
      <c r="M737" s="6">
        <v>8</v>
      </c>
      <c r="N737" s="6">
        <v>2</v>
      </c>
      <c r="O737" s="6"/>
      <c r="P737" s="7">
        <f t="shared" si="95"/>
        <v>4</v>
      </c>
      <c r="Q737" s="6"/>
      <c r="R737" s="6">
        <v>2</v>
      </c>
      <c r="S737" s="7"/>
      <c r="T737" s="6"/>
      <c r="Y737" s="13"/>
      <c r="AB737" s="13"/>
      <c r="AD737" s="6"/>
      <c r="AE737" s="8" t="s">
        <v>217</v>
      </c>
    </row>
    <row r="738" spans="1:31" x14ac:dyDescent="0.25">
      <c r="A738" s="6" t="s">
        <v>520</v>
      </c>
      <c r="B738" s="6">
        <v>23</v>
      </c>
      <c r="C738" s="6">
        <v>363</v>
      </c>
      <c r="D738" s="6">
        <v>28</v>
      </c>
      <c r="E738" s="6">
        <v>5</v>
      </c>
      <c r="F738" s="7">
        <f t="shared" si="89"/>
        <v>15.782608695652174</v>
      </c>
      <c r="G738" s="6">
        <v>2</v>
      </c>
      <c r="H738" s="6">
        <v>60</v>
      </c>
      <c r="I738" s="7">
        <f t="shared" si="91"/>
        <v>30</v>
      </c>
      <c r="J738" s="6"/>
      <c r="K738" s="6"/>
      <c r="L738" s="6"/>
      <c r="M738" s="6"/>
      <c r="N738" s="6"/>
      <c r="O738" s="6"/>
      <c r="P738" s="7"/>
      <c r="Q738" s="6"/>
      <c r="R738" s="6"/>
      <c r="S738" s="7"/>
      <c r="T738" s="6"/>
      <c r="Y738" s="13"/>
      <c r="AA738" s="6"/>
      <c r="AB738" s="13"/>
    </row>
    <row r="739" spans="1:31" x14ac:dyDescent="0.25">
      <c r="A739" s="6" t="s">
        <v>836</v>
      </c>
      <c r="B739" s="6">
        <v>1</v>
      </c>
      <c r="C739" s="6">
        <v>3</v>
      </c>
      <c r="D739" s="6">
        <v>1</v>
      </c>
      <c r="E739" s="6"/>
      <c r="F739" s="7">
        <f t="shared" si="89"/>
        <v>3</v>
      </c>
      <c r="G739" s="6"/>
      <c r="H739" s="6"/>
      <c r="I739" s="7"/>
      <c r="J739" s="6"/>
      <c r="K739" s="6"/>
      <c r="L739" s="6">
        <v>1</v>
      </c>
      <c r="M739" s="6">
        <v>3</v>
      </c>
      <c r="N739" s="6">
        <v>1</v>
      </c>
      <c r="O739" s="6"/>
      <c r="P739" s="7">
        <f t="shared" si="95"/>
        <v>3</v>
      </c>
      <c r="Q739" s="6"/>
      <c r="R739" s="6"/>
      <c r="S739" s="7"/>
      <c r="T739" s="6"/>
      <c r="Y739" s="13"/>
      <c r="AB739" s="13"/>
      <c r="AD739" s="6"/>
      <c r="AE739" s="8" t="s">
        <v>23</v>
      </c>
    </row>
    <row r="740" spans="1:31" x14ac:dyDescent="0.25">
      <c r="A740" s="6" t="s">
        <v>521</v>
      </c>
      <c r="B740" s="6">
        <v>9</v>
      </c>
      <c r="C740" s="6">
        <v>202</v>
      </c>
      <c r="D740" s="6">
        <v>11</v>
      </c>
      <c r="E740" s="6">
        <v>1</v>
      </c>
      <c r="F740" s="7">
        <f t="shared" si="89"/>
        <v>20.2</v>
      </c>
      <c r="G740" s="6"/>
      <c r="H740" s="6">
        <v>11</v>
      </c>
      <c r="I740" s="7"/>
      <c r="J740" s="6"/>
      <c r="K740" s="6"/>
      <c r="L740" s="6"/>
      <c r="M740" s="6"/>
      <c r="N740" s="6"/>
      <c r="O740" s="6"/>
      <c r="P740" s="7"/>
      <c r="Q740" s="6"/>
      <c r="R740" s="6"/>
      <c r="S740" s="7"/>
      <c r="T740" s="6"/>
      <c r="Y740" s="13"/>
      <c r="AA740" s="6"/>
      <c r="AB740" s="13"/>
    </row>
    <row r="741" spans="1:31" x14ac:dyDescent="0.25">
      <c r="A741" s="6" t="s">
        <v>522</v>
      </c>
      <c r="B741" s="6">
        <v>11</v>
      </c>
      <c r="C741" s="6">
        <v>110</v>
      </c>
      <c r="D741" s="6">
        <v>11</v>
      </c>
      <c r="E741" s="6"/>
      <c r="F741" s="7">
        <f t="shared" si="89"/>
        <v>10</v>
      </c>
      <c r="G741" s="6"/>
      <c r="H741" s="6">
        <v>10</v>
      </c>
      <c r="I741" s="7"/>
      <c r="J741" s="6"/>
      <c r="K741" s="6"/>
      <c r="L741" s="6"/>
      <c r="M741" s="6"/>
      <c r="N741" s="6"/>
      <c r="O741" s="6"/>
      <c r="P741" s="7"/>
      <c r="Q741" s="6"/>
      <c r="R741" s="6"/>
      <c r="S741" s="7"/>
      <c r="T741" s="6"/>
      <c r="Y741" s="13"/>
      <c r="AA741" s="6"/>
      <c r="AB741" s="13"/>
    </row>
    <row r="742" spans="1:31" x14ac:dyDescent="0.25">
      <c r="A742" s="6" t="s">
        <v>796</v>
      </c>
      <c r="B742" s="6">
        <v>2</v>
      </c>
      <c r="C742" s="6">
        <v>17</v>
      </c>
      <c r="D742" s="6">
        <v>2</v>
      </c>
      <c r="E742" s="6"/>
      <c r="F742" s="7">
        <f t="shared" si="89"/>
        <v>8.5</v>
      </c>
      <c r="G742" s="6">
        <v>2</v>
      </c>
      <c r="H742" s="6">
        <v>36</v>
      </c>
      <c r="I742" s="7">
        <f t="shared" si="91"/>
        <v>18</v>
      </c>
      <c r="J742" s="6"/>
      <c r="K742" s="6"/>
      <c r="L742" s="6">
        <v>1</v>
      </c>
      <c r="M742" s="6">
        <v>12</v>
      </c>
      <c r="N742" s="6">
        <v>1</v>
      </c>
      <c r="O742" s="6"/>
      <c r="P742" s="7">
        <f t="shared" si="95"/>
        <v>12</v>
      </c>
      <c r="Q742" s="6"/>
      <c r="R742" s="6"/>
      <c r="S742" s="7"/>
      <c r="T742" s="6"/>
      <c r="Y742" s="13"/>
      <c r="AB742" s="13"/>
      <c r="AD742" s="6"/>
      <c r="AE742" s="8" t="s">
        <v>695</v>
      </c>
    </row>
    <row r="743" spans="1:31" x14ac:dyDescent="0.25">
      <c r="A743" s="6" t="s">
        <v>523</v>
      </c>
      <c r="B743" s="6">
        <v>101</v>
      </c>
      <c r="C743" s="6">
        <v>2567</v>
      </c>
      <c r="D743" s="6">
        <v>99</v>
      </c>
      <c r="E743" s="6">
        <v>2</v>
      </c>
      <c r="F743" s="7">
        <f t="shared" si="89"/>
        <v>26.463917525773194</v>
      </c>
      <c r="G743" s="6">
        <v>227</v>
      </c>
      <c r="H743" s="6">
        <v>3911</v>
      </c>
      <c r="I743" s="7">
        <f t="shared" si="91"/>
        <v>17.229074889867842</v>
      </c>
      <c r="J743" s="6"/>
      <c r="K743" s="6"/>
      <c r="L743" s="6"/>
      <c r="M743" s="6"/>
      <c r="N743" s="6"/>
      <c r="O743" s="6"/>
      <c r="P743" s="7"/>
      <c r="Q743" s="6"/>
      <c r="R743" s="6"/>
      <c r="S743" s="7"/>
      <c r="T743" s="6"/>
      <c r="Y743" s="13"/>
      <c r="AA743" s="6"/>
      <c r="AB743" s="13"/>
    </row>
    <row r="744" spans="1:31" x14ac:dyDescent="0.25">
      <c r="A744" s="6" t="s">
        <v>524</v>
      </c>
      <c r="B744" s="6">
        <v>50</v>
      </c>
      <c r="C744" s="6">
        <v>995</v>
      </c>
      <c r="D744" s="6">
        <v>48</v>
      </c>
      <c r="E744" s="6">
        <v>9</v>
      </c>
      <c r="F744" s="7">
        <f t="shared" si="89"/>
        <v>25.512820512820515</v>
      </c>
      <c r="G744" s="6"/>
      <c r="H744" s="6"/>
      <c r="I744" s="7"/>
      <c r="J744" s="6"/>
      <c r="K744" s="6"/>
      <c r="L744" s="6">
        <v>1</v>
      </c>
      <c r="M744" s="6">
        <v>54</v>
      </c>
      <c r="N744" s="6">
        <v>1</v>
      </c>
      <c r="O744" s="6"/>
      <c r="P744" s="7">
        <f t="shared" si="95"/>
        <v>54</v>
      </c>
      <c r="Q744" s="6"/>
      <c r="R744" s="6"/>
      <c r="S744" s="7"/>
      <c r="T744" s="6"/>
      <c r="Y744" s="13"/>
      <c r="AB744" s="13"/>
      <c r="AD744" s="6"/>
      <c r="AE744" s="13" t="s">
        <v>525</v>
      </c>
    </row>
    <row r="745" spans="1:31" x14ac:dyDescent="0.25">
      <c r="A745" s="6" t="s">
        <v>526</v>
      </c>
      <c r="B745" s="6">
        <v>16</v>
      </c>
      <c r="C745" s="6">
        <v>84</v>
      </c>
      <c r="D745" s="6">
        <v>18</v>
      </c>
      <c r="E745" s="6">
        <v>6</v>
      </c>
      <c r="F745" s="7">
        <f t="shared" si="89"/>
        <v>7</v>
      </c>
      <c r="G745" s="6"/>
      <c r="H745" s="6">
        <v>6</v>
      </c>
      <c r="I745" s="7"/>
      <c r="J745" s="6"/>
      <c r="K745" s="6"/>
      <c r="L745" s="6"/>
      <c r="M745" s="6"/>
      <c r="N745" s="6"/>
      <c r="O745" s="6"/>
      <c r="P745" s="7"/>
      <c r="Q745" s="6"/>
      <c r="R745" s="6"/>
      <c r="S745" s="7"/>
      <c r="T745" s="6"/>
      <c r="Y745" s="13"/>
      <c r="AA745" s="6"/>
      <c r="AB745" s="13"/>
    </row>
    <row r="746" spans="1:31" x14ac:dyDescent="0.25">
      <c r="A746" s="6" t="s">
        <v>527</v>
      </c>
      <c r="B746" s="6">
        <v>38</v>
      </c>
      <c r="C746" s="6">
        <v>1052</v>
      </c>
      <c r="D746" s="6">
        <v>47</v>
      </c>
      <c r="E746" s="6">
        <v>6</v>
      </c>
      <c r="F746" s="7">
        <f t="shared" si="89"/>
        <v>25.658536585365855</v>
      </c>
      <c r="G746" s="6">
        <v>22</v>
      </c>
      <c r="H746" s="6">
        <v>384</v>
      </c>
      <c r="I746" s="7">
        <f t="shared" si="91"/>
        <v>17.454545454545453</v>
      </c>
      <c r="J746" s="6"/>
      <c r="K746" s="6"/>
      <c r="L746" s="6"/>
      <c r="M746" s="6"/>
      <c r="N746" s="6"/>
      <c r="O746" s="6"/>
      <c r="P746" s="7"/>
      <c r="Q746" s="6"/>
      <c r="R746" s="6"/>
      <c r="S746" s="7"/>
      <c r="T746" s="6"/>
      <c r="Y746" s="13"/>
      <c r="AA746" s="6"/>
      <c r="AB746" s="13"/>
    </row>
    <row r="747" spans="1:31" x14ac:dyDescent="0.25">
      <c r="A747" s="6" t="s">
        <v>676</v>
      </c>
      <c r="B747" s="6">
        <v>2</v>
      </c>
      <c r="C747" s="6">
        <v>10</v>
      </c>
      <c r="D747" s="6">
        <v>1</v>
      </c>
      <c r="E747" s="6"/>
      <c r="F747" s="7">
        <f t="shared" si="89"/>
        <v>10</v>
      </c>
      <c r="G747" s="6"/>
      <c r="H747" s="6"/>
      <c r="I747" s="7"/>
      <c r="J747" s="6"/>
      <c r="K747" s="6"/>
      <c r="L747" s="6">
        <v>2</v>
      </c>
      <c r="M747" s="6">
        <v>10</v>
      </c>
      <c r="N747" s="6">
        <v>1</v>
      </c>
      <c r="O747" s="6"/>
      <c r="P747" s="7">
        <f t="shared" si="95"/>
        <v>10</v>
      </c>
      <c r="Q747" s="6"/>
      <c r="R747" s="6"/>
      <c r="S747" s="7"/>
      <c r="T747" s="6"/>
      <c r="Y747" s="13"/>
      <c r="AB747" s="13"/>
      <c r="AD747" s="6"/>
      <c r="AE747" s="8" t="s">
        <v>41</v>
      </c>
    </row>
    <row r="748" spans="1:31" x14ac:dyDescent="0.25">
      <c r="A748" s="6" t="s">
        <v>528</v>
      </c>
      <c r="B748" s="6">
        <v>18</v>
      </c>
      <c r="C748" s="6">
        <v>53</v>
      </c>
      <c r="D748" s="6">
        <v>15</v>
      </c>
      <c r="E748" s="6">
        <v>5</v>
      </c>
      <c r="F748" s="7">
        <f t="shared" si="89"/>
        <v>5.3</v>
      </c>
      <c r="G748" s="6">
        <v>32</v>
      </c>
      <c r="H748" s="6">
        <v>573</v>
      </c>
      <c r="I748" s="7">
        <f t="shared" si="91"/>
        <v>17.90625</v>
      </c>
      <c r="J748" s="6"/>
      <c r="K748" s="6"/>
      <c r="L748" s="6"/>
      <c r="M748" s="6"/>
      <c r="N748" s="6"/>
      <c r="O748" s="6"/>
      <c r="P748" s="7"/>
      <c r="Q748" s="6"/>
      <c r="R748" s="6"/>
      <c r="S748" s="7"/>
      <c r="T748" s="6"/>
      <c r="Y748" s="13"/>
      <c r="AA748" s="6"/>
      <c r="AB748" s="13"/>
    </row>
    <row r="749" spans="1:31" x14ac:dyDescent="0.25">
      <c r="A749" s="6" t="s">
        <v>1051</v>
      </c>
      <c r="B749" s="6">
        <v>2</v>
      </c>
      <c r="C749" s="6"/>
      <c r="D749" s="6"/>
      <c r="E749" s="6"/>
      <c r="F749" s="7"/>
      <c r="G749" s="6"/>
      <c r="H749" s="6">
        <v>16</v>
      </c>
      <c r="I749" s="7"/>
      <c r="J749" s="6"/>
      <c r="K749" s="6"/>
      <c r="L749" s="6"/>
      <c r="M749" s="6"/>
      <c r="N749" s="6"/>
      <c r="O749" s="6"/>
      <c r="P749" s="7"/>
      <c r="Q749" s="6"/>
      <c r="R749" s="6"/>
      <c r="S749" s="7"/>
      <c r="T749" s="6"/>
      <c r="Y749" s="13"/>
      <c r="AA749" s="6"/>
      <c r="AB749" s="13"/>
    </row>
    <row r="750" spans="1:31" x14ac:dyDescent="0.25">
      <c r="A750" s="6" t="s">
        <v>529</v>
      </c>
      <c r="B750" s="6">
        <v>18</v>
      </c>
      <c r="C750" s="6">
        <v>314</v>
      </c>
      <c r="D750" s="6">
        <v>20</v>
      </c>
      <c r="E750" s="6">
        <v>2</v>
      </c>
      <c r="F750" s="7">
        <f t="shared" si="89"/>
        <v>17.444444444444443</v>
      </c>
      <c r="G750" s="6">
        <v>27</v>
      </c>
      <c r="H750" s="6">
        <v>623</v>
      </c>
      <c r="I750" s="7">
        <f t="shared" si="91"/>
        <v>23.074074074074073</v>
      </c>
      <c r="J750" s="6"/>
      <c r="K750" s="6"/>
      <c r="L750" s="6"/>
      <c r="M750" s="6"/>
      <c r="N750" s="6"/>
      <c r="O750" s="6"/>
      <c r="P750" s="7"/>
      <c r="Q750" s="6"/>
      <c r="R750" s="6"/>
      <c r="S750" s="7"/>
      <c r="T750" s="6"/>
      <c r="Y750" s="13"/>
      <c r="AA750" s="6"/>
      <c r="AB750" s="13"/>
    </row>
    <row r="751" spans="1:31" x14ac:dyDescent="0.25">
      <c r="A751" s="6" t="s">
        <v>1076</v>
      </c>
      <c r="B751" s="6">
        <v>19</v>
      </c>
      <c r="C751" s="6">
        <v>592</v>
      </c>
      <c r="D751" s="6">
        <v>22</v>
      </c>
      <c r="E751" s="6">
        <v>1</v>
      </c>
      <c r="F751" s="7">
        <f t="shared" si="89"/>
        <v>28.19047619047619</v>
      </c>
      <c r="G751" s="6">
        <v>5</v>
      </c>
      <c r="H751" s="6">
        <v>193</v>
      </c>
      <c r="I751" s="7">
        <f t="shared" si="91"/>
        <v>38.6</v>
      </c>
      <c r="J751" s="6"/>
      <c r="K751" s="6"/>
      <c r="L751" s="6"/>
      <c r="M751" s="6"/>
      <c r="N751" s="6"/>
      <c r="O751" s="6"/>
      <c r="P751" s="7"/>
      <c r="Q751" s="6"/>
      <c r="R751" s="6"/>
      <c r="S751" s="7"/>
      <c r="T751" s="6"/>
      <c r="U751" s="13">
        <v>8</v>
      </c>
      <c r="V751" s="13">
        <v>168</v>
      </c>
      <c r="W751" s="13">
        <v>8</v>
      </c>
      <c r="X751" s="13">
        <v>1</v>
      </c>
      <c r="Y751" s="13">
        <f t="shared" si="98"/>
        <v>24</v>
      </c>
      <c r="Z751" s="13">
        <v>7</v>
      </c>
      <c r="AA751" s="13">
        <v>110</v>
      </c>
      <c r="AB751" s="13">
        <f t="shared" si="94"/>
        <v>15.714285714285714</v>
      </c>
      <c r="AE751" s="13" t="s">
        <v>1117</v>
      </c>
    </row>
    <row r="752" spans="1:31" x14ac:dyDescent="0.25">
      <c r="A752" s="6" t="s">
        <v>768</v>
      </c>
      <c r="B752" s="6">
        <v>14.5</v>
      </c>
      <c r="C752" s="6">
        <v>84</v>
      </c>
      <c r="D752" s="6">
        <v>3</v>
      </c>
      <c r="E752" s="6">
        <v>2</v>
      </c>
      <c r="F752" s="7">
        <f t="shared" si="89"/>
        <v>84</v>
      </c>
      <c r="G752" s="6">
        <v>1</v>
      </c>
      <c r="H752" s="6">
        <v>80</v>
      </c>
      <c r="I752" s="7">
        <f t="shared" si="91"/>
        <v>80</v>
      </c>
      <c r="J752" s="6"/>
      <c r="K752" s="6"/>
      <c r="L752" s="6">
        <v>15</v>
      </c>
      <c r="M752" s="6">
        <v>72</v>
      </c>
      <c r="N752" s="6">
        <v>12</v>
      </c>
      <c r="O752" s="6">
        <v>1</v>
      </c>
      <c r="P752" s="7">
        <f t="shared" si="95"/>
        <v>6.5454545454545459</v>
      </c>
      <c r="Q752" s="6"/>
      <c r="R752" s="6">
        <v>70</v>
      </c>
      <c r="S752" s="7"/>
      <c r="T752" s="6"/>
      <c r="Y752" s="13"/>
      <c r="AB752" s="13"/>
      <c r="AD752" s="6"/>
      <c r="AE752" s="13" t="s">
        <v>795</v>
      </c>
    </row>
    <row r="753" spans="1:31" x14ac:dyDescent="0.25">
      <c r="A753" s="6" t="s">
        <v>1077</v>
      </c>
      <c r="B753" s="6">
        <v>14</v>
      </c>
      <c r="C753" s="6">
        <v>133</v>
      </c>
      <c r="D753" s="6">
        <v>14</v>
      </c>
      <c r="E753" s="6">
        <v>2</v>
      </c>
      <c r="F753" s="7">
        <f t="shared" si="89"/>
        <v>11.083333333333334</v>
      </c>
      <c r="G753" s="6">
        <v>23</v>
      </c>
      <c r="H753" s="6">
        <v>418</v>
      </c>
      <c r="I753" s="7">
        <f t="shared" si="91"/>
        <v>18.173913043478262</v>
      </c>
      <c r="J753" s="6"/>
      <c r="K753" s="6"/>
      <c r="L753" s="6"/>
      <c r="M753" s="6"/>
      <c r="N753" s="6"/>
      <c r="O753" s="6"/>
      <c r="P753" s="7"/>
      <c r="Q753" s="6"/>
      <c r="R753" s="6"/>
      <c r="S753" s="7"/>
      <c r="T753" s="6"/>
      <c r="U753" s="13">
        <v>4</v>
      </c>
      <c r="V753" s="13">
        <v>45</v>
      </c>
      <c r="W753" s="13">
        <v>4</v>
      </c>
      <c r="Y753" s="13">
        <f t="shared" si="98"/>
        <v>11.25</v>
      </c>
      <c r="Z753" s="13">
        <v>3</v>
      </c>
      <c r="AA753" s="13">
        <v>70</v>
      </c>
      <c r="AB753" s="13">
        <f t="shared" si="94"/>
        <v>23.333333333333332</v>
      </c>
      <c r="AD753" s="6"/>
      <c r="AE753" s="13" t="s">
        <v>1078</v>
      </c>
    </row>
    <row r="754" spans="1:31" x14ac:dyDescent="0.25">
      <c r="A754" s="6" t="s">
        <v>1052</v>
      </c>
      <c r="B754" s="6">
        <v>10</v>
      </c>
      <c r="C754" s="6">
        <v>15</v>
      </c>
      <c r="D754" s="6">
        <v>6</v>
      </c>
      <c r="E754" s="6">
        <v>1</v>
      </c>
      <c r="F754" s="7">
        <f t="shared" si="89"/>
        <v>3</v>
      </c>
      <c r="G754" s="6">
        <v>7</v>
      </c>
      <c r="H754" s="6">
        <v>161</v>
      </c>
      <c r="I754" s="7">
        <f t="shared" si="91"/>
        <v>23</v>
      </c>
      <c r="J754" s="6"/>
      <c r="K754" s="6"/>
      <c r="L754" s="6"/>
      <c r="M754" s="6"/>
      <c r="N754" s="6"/>
      <c r="O754" s="6"/>
      <c r="P754" s="7"/>
      <c r="Q754" s="6"/>
      <c r="R754" s="6"/>
      <c r="S754" s="7"/>
      <c r="T754" s="6"/>
      <c r="Y754" s="13"/>
      <c r="AB754" s="8"/>
      <c r="AD754" s="6"/>
      <c r="AE754" s="13" t="s">
        <v>1040</v>
      </c>
    </row>
    <row r="755" spans="1:31" x14ac:dyDescent="0.25">
      <c r="A755" s="6" t="s">
        <v>530</v>
      </c>
      <c r="B755" s="6">
        <v>9</v>
      </c>
      <c r="C755" s="6">
        <v>38</v>
      </c>
      <c r="D755" s="6">
        <v>9</v>
      </c>
      <c r="E755" s="6">
        <v>2</v>
      </c>
      <c r="F755" s="7">
        <f t="shared" si="89"/>
        <v>5.4285714285714288</v>
      </c>
      <c r="G755" s="6">
        <v>13</v>
      </c>
      <c r="H755" s="6">
        <v>297</v>
      </c>
      <c r="I755" s="7">
        <f t="shared" si="91"/>
        <v>22.846153846153847</v>
      </c>
      <c r="J755" s="6"/>
      <c r="K755" s="6"/>
      <c r="L755" s="6"/>
      <c r="M755" s="6"/>
      <c r="N755" s="6"/>
      <c r="O755" s="6"/>
      <c r="P755" s="7"/>
      <c r="Q755" s="6"/>
      <c r="R755" s="6"/>
      <c r="S755" s="7"/>
      <c r="T755" s="6"/>
      <c r="Y755" s="13"/>
      <c r="AA755" s="6"/>
      <c r="AB755" s="8"/>
    </row>
    <row r="756" spans="1:31" x14ac:dyDescent="0.25">
      <c r="A756" s="6" t="s">
        <v>531</v>
      </c>
      <c r="B756" s="9">
        <v>20</v>
      </c>
      <c r="C756" s="9">
        <v>371</v>
      </c>
      <c r="D756" s="9">
        <v>19</v>
      </c>
      <c r="E756" s="9">
        <v>2</v>
      </c>
      <c r="F756" s="7">
        <f t="shared" si="89"/>
        <v>21.823529411764707</v>
      </c>
      <c r="G756" s="9">
        <v>27</v>
      </c>
      <c r="H756" s="9">
        <v>504</v>
      </c>
      <c r="I756" s="7">
        <f t="shared" si="91"/>
        <v>18.666666666666668</v>
      </c>
      <c r="J756" s="9"/>
      <c r="K756" s="9"/>
      <c r="L756" s="9"/>
      <c r="M756" s="9"/>
      <c r="N756" s="9"/>
      <c r="O756" s="9"/>
      <c r="P756" s="7"/>
      <c r="Q756" s="9"/>
      <c r="R756" s="9"/>
      <c r="S756" s="7"/>
      <c r="Y756" s="13"/>
      <c r="AA756" s="6"/>
      <c r="AB756" s="8"/>
    </row>
    <row r="757" spans="1:31" x14ac:dyDescent="0.25">
      <c r="A757" s="6" t="s">
        <v>532</v>
      </c>
      <c r="B757" s="9">
        <v>79</v>
      </c>
      <c r="C757" s="9">
        <v>970</v>
      </c>
      <c r="D757" s="9">
        <v>72</v>
      </c>
      <c r="E757" s="9">
        <v>11</v>
      </c>
      <c r="F757" s="7">
        <f t="shared" si="89"/>
        <v>15.901639344262295</v>
      </c>
      <c r="G757" s="9">
        <v>281</v>
      </c>
      <c r="H757" s="9">
        <v>3859</v>
      </c>
      <c r="I757" s="7">
        <f t="shared" si="91"/>
        <v>13.733096085409253</v>
      </c>
      <c r="J757" s="9"/>
      <c r="K757" s="9"/>
      <c r="L757" s="9"/>
      <c r="M757" s="9"/>
      <c r="N757" s="9"/>
      <c r="O757" s="9"/>
      <c r="P757" s="7"/>
      <c r="Q757" s="9"/>
      <c r="R757" s="9"/>
      <c r="S757" s="7"/>
      <c r="Y757" s="13"/>
      <c r="AA757" s="6"/>
      <c r="AB757" s="8"/>
    </row>
    <row r="758" spans="1:31" x14ac:dyDescent="0.25">
      <c r="A758" s="6" t="s">
        <v>714</v>
      </c>
      <c r="B758" s="9">
        <v>54</v>
      </c>
      <c r="C758" s="9">
        <v>585</v>
      </c>
      <c r="D758" s="9">
        <v>58</v>
      </c>
      <c r="E758" s="9">
        <v>13</v>
      </c>
      <c r="F758" s="7">
        <f t="shared" si="89"/>
        <v>13</v>
      </c>
      <c r="G758" s="9">
        <v>36</v>
      </c>
      <c r="H758" s="9">
        <v>1778</v>
      </c>
      <c r="I758" s="7">
        <f t="shared" si="91"/>
        <v>49.388888888888886</v>
      </c>
      <c r="J758" s="9"/>
      <c r="K758" s="9"/>
      <c r="L758" s="9">
        <v>4</v>
      </c>
      <c r="M758" s="9">
        <v>9</v>
      </c>
      <c r="N758" s="9">
        <v>4</v>
      </c>
      <c r="O758" s="9"/>
      <c r="P758" s="7">
        <f t="shared" si="95"/>
        <v>2.25</v>
      </c>
      <c r="Q758" s="9">
        <v>2</v>
      </c>
      <c r="R758" s="9">
        <v>93</v>
      </c>
      <c r="S758" s="7">
        <f t="shared" si="97"/>
        <v>46.5</v>
      </c>
      <c r="T758" s="13"/>
      <c r="Y758" s="13"/>
      <c r="AB758" s="8"/>
      <c r="AD758" s="6"/>
      <c r="AE758" s="13" t="s">
        <v>715</v>
      </c>
    </row>
    <row r="759" spans="1:31" x14ac:dyDescent="0.25">
      <c r="A759" s="6" t="s">
        <v>533</v>
      </c>
      <c r="B759" s="9">
        <v>3</v>
      </c>
      <c r="C759" s="9">
        <v>12</v>
      </c>
      <c r="D759" s="9">
        <v>3</v>
      </c>
      <c r="E759" s="9"/>
      <c r="F759" s="7">
        <f t="shared" si="89"/>
        <v>4</v>
      </c>
      <c r="G759" s="9"/>
      <c r="H759" s="9"/>
      <c r="I759" s="7"/>
      <c r="J759" s="9"/>
      <c r="K759" s="9"/>
      <c r="L759" s="9">
        <v>3</v>
      </c>
      <c r="M759" s="9">
        <v>12</v>
      </c>
      <c r="N759" s="9">
        <v>3</v>
      </c>
      <c r="O759" s="9"/>
      <c r="P759" s="7">
        <f t="shared" si="95"/>
        <v>4</v>
      </c>
      <c r="Q759" s="9"/>
      <c r="R759" s="9"/>
      <c r="S759" s="7"/>
      <c r="T759" s="13"/>
      <c r="Y759" s="13"/>
      <c r="AB759" s="8"/>
      <c r="AD759" s="6"/>
      <c r="AE759" s="13" t="s">
        <v>716</v>
      </c>
    </row>
    <row r="760" spans="1:31" x14ac:dyDescent="0.25">
      <c r="A760" s="6" t="s">
        <v>844</v>
      </c>
      <c r="B760" s="6">
        <v>132</v>
      </c>
      <c r="C760" s="6">
        <v>3414</v>
      </c>
      <c r="D760" s="6">
        <v>134</v>
      </c>
      <c r="E760" s="6">
        <v>21</v>
      </c>
      <c r="F760" s="7">
        <f t="shared" si="89"/>
        <v>30.212389380530972</v>
      </c>
      <c r="G760" s="6">
        <v>45</v>
      </c>
      <c r="H760" s="6">
        <v>1104</v>
      </c>
      <c r="I760" s="7">
        <f t="shared" si="91"/>
        <v>24.533333333333335</v>
      </c>
      <c r="J760" s="9"/>
      <c r="K760" s="9"/>
      <c r="L760" s="9"/>
      <c r="M760" s="9"/>
      <c r="N760" s="9"/>
      <c r="O760" s="9"/>
      <c r="P760" s="7"/>
      <c r="Q760" s="9"/>
      <c r="R760" s="9"/>
      <c r="S760" s="7"/>
      <c r="T760" s="13"/>
      <c r="U760" s="6">
        <v>30</v>
      </c>
      <c r="V760" s="6">
        <v>396</v>
      </c>
      <c r="W760" s="6">
        <v>20</v>
      </c>
      <c r="X760" s="6">
        <v>4</v>
      </c>
      <c r="Y760" s="19">
        <f t="shared" ref="Y760:Y825" si="99">(V760/(W760-X760))</f>
        <v>24.75</v>
      </c>
      <c r="Z760" s="6">
        <v>7</v>
      </c>
      <c r="AA760" s="6">
        <v>211</v>
      </c>
      <c r="AB760" s="13">
        <f t="shared" ref="AB760:AB765" si="100">AA760/Z760</f>
        <v>30.142857142857142</v>
      </c>
      <c r="AC760" s="6"/>
      <c r="AD760" s="6"/>
      <c r="AE760" s="13" t="s">
        <v>1177</v>
      </c>
    </row>
    <row r="761" spans="1:31" x14ac:dyDescent="0.25">
      <c r="A761" s="6" t="s">
        <v>863</v>
      </c>
      <c r="B761" s="6">
        <v>7</v>
      </c>
      <c r="C761" s="6">
        <v>62</v>
      </c>
      <c r="D761" s="9">
        <v>6</v>
      </c>
      <c r="E761" s="9"/>
      <c r="F761" s="7">
        <f t="shared" si="89"/>
        <v>10.333333333333334</v>
      </c>
      <c r="G761" s="6">
        <v>6</v>
      </c>
      <c r="H761" s="6">
        <v>119</v>
      </c>
      <c r="I761" s="7">
        <f t="shared" si="91"/>
        <v>19.833333333333332</v>
      </c>
      <c r="J761" s="9"/>
      <c r="K761" s="9"/>
      <c r="L761" s="9"/>
      <c r="M761" s="9"/>
      <c r="N761" s="9"/>
      <c r="O761" s="9"/>
      <c r="P761" s="7"/>
      <c r="Q761" s="9"/>
      <c r="R761" s="9"/>
      <c r="S761" s="7"/>
      <c r="T761" s="13"/>
      <c r="Y761" s="19"/>
      <c r="AA761" s="6"/>
      <c r="AB761" s="13"/>
    </row>
    <row r="762" spans="1:31" x14ac:dyDescent="0.25">
      <c r="A762" s="6" t="s">
        <v>534</v>
      </c>
      <c r="B762" s="6">
        <v>78</v>
      </c>
      <c r="C762" s="6">
        <v>456</v>
      </c>
      <c r="D762" s="6">
        <v>80</v>
      </c>
      <c r="E762" s="6">
        <v>16</v>
      </c>
      <c r="F762" s="7">
        <f t="shared" si="89"/>
        <v>7.125</v>
      </c>
      <c r="G762" s="6">
        <v>143</v>
      </c>
      <c r="H762" s="6">
        <v>562</v>
      </c>
      <c r="I762" s="7">
        <f t="shared" si="91"/>
        <v>3.93006993006993</v>
      </c>
      <c r="J762" s="9"/>
      <c r="K762" s="9"/>
      <c r="L762" s="9">
        <v>6</v>
      </c>
      <c r="M762" s="9">
        <v>43</v>
      </c>
      <c r="N762" s="9">
        <v>6</v>
      </c>
      <c r="O762" s="9"/>
      <c r="P762" s="7">
        <f t="shared" si="95"/>
        <v>7.166666666666667</v>
      </c>
      <c r="Q762" s="9">
        <v>4</v>
      </c>
      <c r="R762" s="9">
        <v>57</v>
      </c>
      <c r="S762" s="7">
        <f t="shared" si="97"/>
        <v>14.25</v>
      </c>
      <c r="T762" s="13"/>
      <c r="Y762" s="19"/>
      <c r="AB762" s="13"/>
      <c r="AD762" s="6"/>
      <c r="AE762" s="13" t="s">
        <v>769</v>
      </c>
    </row>
    <row r="763" spans="1:31" x14ac:dyDescent="0.25">
      <c r="A763" s="6" t="s">
        <v>837</v>
      </c>
      <c r="B763" s="9">
        <v>3.5</v>
      </c>
      <c r="C763" s="9">
        <v>4</v>
      </c>
      <c r="D763" s="9">
        <v>5</v>
      </c>
      <c r="E763" s="9">
        <v>1</v>
      </c>
      <c r="F763" s="7">
        <f t="shared" si="89"/>
        <v>1</v>
      </c>
      <c r="G763" s="9">
        <v>6</v>
      </c>
      <c r="H763" s="9">
        <v>93</v>
      </c>
      <c r="I763" s="7">
        <f t="shared" si="91"/>
        <v>15.5</v>
      </c>
      <c r="J763" s="9"/>
      <c r="K763" s="9"/>
      <c r="L763" s="9">
        <v>5</v>
      </c>
      <c r="M763" s="9">
        <v>4</v>
      </c>
      <c r="N763" s="9">
        <v>5</v>
      </c>
      <c r="O763" s="9">
        <v>1</v>
      </c>
      <c r="P763" s="7">
        <f t="shared" si="95"/>
        <v>1</v>
      </c>
      <c r="Q763" s="9">
        <v>6</v>
      </c>
      <c r="R763" s="9">
        <v>93</v>
      </c>
      <c r="S763" s="7">
        <f t="shared" si="97"/>
        <v>15.5</v>
      </c>
      <c r="T763" s="13"/>
      <c r="Y763" s="19"/>
      <c r="AB763" s="13"/>
      <c r="AD763" s="6"/>
      <c r="AE763" s="8" t="s">
        <v>692</v>
      </c>
    </row>
    <row r="764" spans="1:31" x14ac:dyDescent="0.25">
      <c r="A764" s="6" t="s">
        <v>535</v>
      </c>
      <c r="B764" s="9">
        <v>42</v>
      </c>
      <c r="C764" s="9">
        <v>87</v>
      </c>
      <c r="D764" s="9">
        <v>29</v>
      </c>
      <c r="E764" s="9">
        <v>9</v>
      </c>
      <c r="F764" s="7">
        <f t="shared" si="89"/>
        <v>4.3499999999999996</v>
      </c>
      <c r="G764" s="9">
        <v>34</v>
      </c>
      <c r="H764" s="6">
        <v>685</v>
      </c>
      <c r="I764" s="7">
        <f t="shared" si="91"/>
        <v>20.147058823529413</v>
      </c>
      <c r="J764" s="9"/>
      <c r="K764" s="9"/>
      <c r="L764" s="9"/>
      <c r="M764" s="9"/>
      <c r="N764" s="9"/>
      <c r="O764" s="9"/>
      <c r="P764" s="7"/>
      <c r="Q764" s="9"/>
      <c r="R764" s="9"/>
      <c r="S764" s="7"/>
      <c r="Y764" s="19"/>
      <c r="AA764" s="6"/>
      <c r="AB764" s="13"/>
    </row>
    <row r="765" spans="1:31" x14ac:dyDescent="0.25">
      <c r="A765" s="6" t="s">
        <v>536</v>
      </c>
      <c r="B765" s="9">
        <v>8.5</v>
      </c>
      <c r="C765" s="9">
        <v>4653</v>
      </c>
      <c r="D765" s="9">
        <v>10</v>
      </c>
      <c r="E765" s="9">
        <v>4</v>
      </c>
      <c r="F765" s="7">
        <f t="shared" si="89"/>
        <v>775.5</v>
      </c>
      <c r="G765" s="9">
        <v>5</v>
      </c>
      <c r="H765" s="6">
        <v>223</v>
      </c>
      <c r="I765" s="7">
        <f t="shared" si="91"/>
        <v>44.6</v>
      </c>
      <c r="J765" s="9"/>
      <c r="K765" s="9"/>
      <c r="L765" s="9"/>
      <c r="M765" s="9"/>
      <c r="N765" s="9"/>
      <c r="O765" s="9"/>
      <c r="P765" s="7"/>
      <c r="Q765" s="9"/>
      <c r="R765" s="9"/>
      <c r="S765" s="7"/>
      <c r="U765" s="8">
        <v>2</v>
      </c>
      <c r="V765" s="8">
        <v>47</v>
      </c>
      <c r="W765" s="8">
        <v>2</v>
      </c>
      <c r="Y765" s="19">
        <f t="shared" si="99"/>
        <v>23.5</v>
      </c>
      <c r="Z765" s="8">
        <v>1</v>
      </c>
      <c r="AA765" s="9">
        <v>55</v>
      </c>
      <c r="AB765" s="19">
        <f t="shared" si="100"/>
        <v>55</v>
      </c>
      <c r="AE765" s="1" t="s">
        <v>1152</v>
      </c>
    </row>
    <row r="766" spans="1:31" x14ac:dyDescent="0.25">
      <c r="A766" s="6" t="s">
        <v>537</v>
      </c>
      <c r="B766" s="9">
        <v>41</v>
      </c>
      <c r="C766" s="9">
        <v>333</v>
      </c>
      <c r="D766" s="9">
        <v>34</v>
      </c>
      <c r="E766" s="9">
        <v>8</v>
      </c>
      <c r="F766" s="7">
        <f t="shared" si="89"/>
        <v>12.807692307692308</v>
      </c>
      <c r="G766" s="9">
        <v>22</v>
      </c>
      <c r="H766" s="9">
        <v>513</v>
      </c>
      <c r="I766" s="7">
        <f t="shared" si="91"/>
        <v>23.318181818181817</v>
      </c>
      <c r="J766" s="9"/>
      <c r="K766" s="9"/>
      <c r="L766" s="9">
        <v>6</v>
      </c>
      <c r="M766" s="9">
        <v>51</v>
      </c>
      <c r="N766" s="9">
        <v>4</v>
      </c>
      <c r="O766" s="9"/>
      <c r="P766" s="7">
        <f t="shared" si="95"/>
        <v>12.75</v>
      </c>
      <c r="Q766" s="9">
        <v>3</v>
      </c>
      <c r="R766" s="9">
        <v>138</v>
      </c>
      <c r="S766" s="7">
        <f t="shared" si="97"/>
        <v>46</v>
      </c>
      <c r="T766" s="13"/>
      <c r="Y766" s="19"/>
      <c r="AB766" s="13"/>
      <c r="AD766" s="6"/>
      <c r="AE766" s="13" t="s">
        <v>538</v>
      </c>
    </row>
    <row r="767" spans="1:31" x14ac:dyDescent="0.25">
      <c r="A767" s="6" t="s">
        <v>539</v>
      </c>
      <c r="B767" s="9">
        <v>66</v>
      </c>
      <c r="C767" s="9">
        <v>525</v>
      </c>
      <c r="D767" s="9">
        <v>63</v>
      </c>
      <c r="E767" s="9">
        <v>24</v>
      </c>
      <c r="F767" s="7">
        <f t="shared" si="89"/>
        <v>13.461538461538462</v>
      </c>
      <c r="G767" s="6">
        <v>120</v>
      </c>
      <c r="H767" s="6">
        <v>1636</v>
      </c>
      <c r="I767" s="7">
        <f t="shared" si="91"/>
        <v>13.633333333333333</v>
      </c>
      <c r="J767" s="9"/>
      <c r="K767" s="9"/>
      <c r="L767" s="9"/>
      <c r="M767" s="9"/>
      <c r="N767" s="9"/>
      <c r="O767" s="9"/>
      <c r="P767" s="7"/>
      <c r="Q767" s="9"/>
      <c r="R767" s="9"/>
      <c r="S767" s="7"/>
      <c r="Y767" s="19"/>
      <c r="AA767" s="6"/>
      <c r="AB767" s="13"/>
    </row>
    <row r="768" spans="1:31" x14ac:dyDescent="0.25">
      <c r="A768" s="6" t="s">
        <v>1004</v>
      </c>
      <c r="B768" s="9">
        <v>10</v>
      </c>
      <c r="C768" s="6">
        <v>61</v>
      </c>
      <c r="D768" s="6">
        <v>8</v>
      </c>
      <c r="E768" s="6">
        <v>2</v>
      </c>
      <c r="F768" s="7">
        <f t="shared" si="89"/>
        <v>10.166666666666666</v>
      </c>
      <c r="G768" s="6">
        <v>3</v>
      </c>
      <c r="H768" s="6">
        <v>207</v>
      </c>
      <c r="I768" s="7">
        <f t="shared" si="91"/>
        <v>69</v>
      </c>
      <c r="J768" s="9"/>
      <c r="K768" s="9"/>
      <c r="L768" s="9"/>
      <c r="M768" s="9"/>
      <c r="N768" s="9"/>
      <c r="O768" s="9"/>
      <c r="P768" s="7"/>
      <c r="Q768" s="9"/>
      <c r="R768" s="9"/>
      <c r="S768" s="7"/>
      <c r="U768" s="13">
        <v>4</v>
      </c>
      <c r="V768" s="13">
        <v>6</v>
      </c>
      <c r="W768" s="13">
        <v>2</v>
      </c>
      <c r="X768" s="13">
        <v>1</v>
      </c>
      <c r="Y768" s="19">
        <f t="shared" si="99"/>
        <v>6</v>
      </c>
      <c r="Z768" s="13"/>
      <c r="AA768" s="13">
        <v>51</v>
      </c>
      <c r="AB768" s="13"/>
      <c r="AE768" s="13" t="s">
        <v>1000</v>
      </c>
    </row>
    <row r="769" spans="1:31" x14ac:dyDescent="0.25">
      <c r="A769" s="6" t="s">
        <v>540</v>
      </c>
      <c r="B769" s="9">
        <v>77</v>
      </c>
      <c r="C769" s="9">
        <v>1791</v>
      </c>
      <c r="D769" s="9">
        <v>77</v>
      </c>
      <c r="E769" s="9">
        <v>28</v>
      </c>
      <c r="F769" s="7">
        <f t="shared" si="89"/>
        <v>36.551020408163268</v>
      </c>
      <c r="G769" s="6">
        <v>100</v>
      </c>
      <c r="H769" s="6">
        <v>980</v>
      </c>
      <c r="I769" s="7">
        <f t="shared" si="91"/>
        <v>9.8000000000000007</v>
      </c>
      <c r="J769" s="9"/>
      <c r="K769" s="9"/>
      <c r="L769" s="9"/>
      <c r="M769" s="9"/>
      <c r="N769" s="9"/>
      <c r="O769" s="9"/>
      <c r="P769" s="7"/>
      <c r="Q769" s="9"/>
      <c r="R769" s="9"/>
      <c r="S769" s="7"/>
      <c r="Y769" s="19"/>
      <c r="AA769" s="6"/>
      <c r="AB769" s="13"/>
    </row>
    <row r="770" spans="1:31" x14ac:dyDescent="0.25">
      <c r="A770" s="6" t="s">
        <v>541</v>
      </c>
      <c r="B770" s="14">
        <v>322</v>
      </c>
      <c r="C770" s="6">
        <v>9621</v>
      </c>
      <c r="D770" s="6">
        <v>333</v>
      </c>
      <c r="E770" s="6">
        <v>36</v>
      </c>
      <c r="F770" s="7">
        <f t="shared" si="89"/>
        <v>32.393939393939391</v>
      </c>
      <c r="G770" s="6">
        <v>29</v>
      </c>
      <c r="H770" s="6">
        <v>587</v>
      </c>
      <c r="I770" s="7">
        <f t="shared" si="91"/>
        <v>20.241379310344829</v>
      </c>
      <c r="J770" s="9"/>
      <c r="K770" s="9"/>
      <c r="L770" s="9">
        <v>3</v>
      </c>
      <c r="M770" s="9">
        <v>55</v>
      </c>
      <c r="N770" s="9">
        <v>3</v>
      </c>
      <c r="O770" s="9"/>
      <c r="P770" s="7">
        <f t="shared" si="95"/>
        <v>18.333333333333332</v>
      </c>
      <c r="Q770" s="9"/>
      <c r="R770" s="9"/>
      <c r="S770" s="7"/>
      <c r="T770" s="13"/>
      <c r="U770" s="13">
        <v>4</v>
      </c>
      <c r="V770" s="13">
        <v>106</v>
      </c>
      <c r="W770" s="13">
        <v>4</v>
      </c>
      <c r="X770" s="13">
        <v>1</v>
      </c>
      <c r="Y770" s="19">
        <f t="shared" si="99"/>
        <v>35.333333333333336</v>
      </c>
      <c r="Z770" s="13"/>
      <c r="AA770" s="13"/>
      <c r="AB770" s="13"/>
      <c r="AD770" s="6"/>
      <c r="AE770" s="13" t="s">
        <v>1178</v>
      </c>
    </row>
    <row r="771" spans="1:31" x14ac:dyDescent="0.25">
      <c r="A771" s="6" t="s">
        <v>542</v>
      </c>
      <c r="B771" s="9">
        <v>25</v>
      </c>
      <c r="C771" s="9">
        <v>450</v>
      </c>
      <c r="D771" s="9">
        <v>28</v>
      </c>
      <c r="E771" s="9">
        <v>2</v>
      </c>
      <c r="F771" s="7">
        <f t="shared" si="89"/>
        <v>17.307692307692307</v>
      </c>
      <c r="G771" s="9">
        <v>8</v>
      </c>
      <c r="H771" s="9">
        <v>72</v>
      </c>
      <c r="I771" s="7">
        <f t="shared" si="91"/>
        <v>9</v>
      </c>
      <c r="J771" s="9"/>
      <c r="K771" s="9"/>
      <c r="L771" s="9"/>
      <c r="M771" s="9"/>
      <c r="N771" s="9"/>
      <c r="O771" s="9"/>
      <c r="P771" s="7"/>
      <c r="Q771" s="9"/>
      <c r="R771" s="9"/>
      <c r="S771" s="7"/>
      <c r="Y771" s="19"/>
      <c r="AA771" s="6"/>
      <c r="AB771" s="13"/>
    </row>
    <row r="772" spans="1:31" x14ac:dyDescent="0.25">
      <c r="A772" s="6" t="s">
        <v>543</v>
      </c>
      <c r="B772" s="9">
        <v>57</v>
      </c>
      <c r="C772" s="9">
        <v>252</v>
      </c>
      <c r="D772" s="9">
        <v>46</v>
      </c>
      <c r="E772" s="9">
        <v>5</v>
      </c>
      <c r="F772" s="7">
        <f t="shared" si="89"/>
        <v>6.1463414634146343</v>
      </c>
      <c r="G772" s="9">
        <v>41</v>
      </c>
      <c r="H772" s="9">
        <v>1105</v>
      </c>
      <c r="I772" s="7">
        <f t="shared" si="91"/>
        <v>26.951219512195124</v>
      </c>
      <c r="J772" s="9"/>
      <c r="K772" s="9"/>
      <c r="L772" s="9"/>
      <c r="M772" s="9"/>
      <c r="N772" s="9"/>
      <c r="O772" s="9"/>
      <c r="P772" s="7"/>
      <c r="Q772" s="9"/>
      <c r="R772" s="9"/>
      <c r="S772" s="7"/>
      <c r="Y772" s="19"/>
      <c r="AA772" s="6"/>
      <c r="AB772" s="13"/>
    </row>
    <row r="773" spans="1:31" x14ac:dyDescent="0.25">
      <c r="A773" s="6" t="s">
        <v>1179</v>
      </c>
      <c r="B773" s="9">
        <v>10</v>
      </c>
      <c r="C773" s="9">
        <v>191</v>
      </c>
      <c r="D773" s="9">
        <v>10</v>
      </c>
      <c r="E773" s="9">
        <v>2</v>
      </c>
      <c r="F773" s="7">
        <f t="shared" si="89"/>
        <v>23.875</v>
      </c>
      <c r="G773" s="9"/>
      <c r="H773" s="9">
        <v>253</v>
      </c>
      <c r="I773" s="7"/>
      <c r="J773" s="9"/>
      <c r="K773" s="9"/>
      <c r="L773" s="9"/>
      <c r="M773" s="9"/>
      <c r="N773" s="9"/>
      <c r="O773" s="9"/>
      <c r="P773" s="7"/>
      <c r="Q773" s="9"/>
      <c r="R773" s="9"/>
      <c r="S773" s="7"/>
      <c r="Y773" s="19"/>
      <c r="AA773" s="6"/>
      <c r="AB773" s="13"/>
      <c r="AE773" s="8" t="s">
        <v>1040</v>
      </c>
    </row>
    <row r="774" spans="1:31" x14ac:dyDescent="0.25">
      <c r="A774" s="6" t="s">
        <v>544</v>
      </c>
      <c r="B774" s="9">
        <v>18</v>
      </c>
      <c r="C774" s="9">
        <v>56</v>
      </c>
      <c r="D774" s="9">
        <v>10</v>
      </c>
      <c r="E774" s="9">
        <v>1</v>
      </c>
      <c r="F774" s="7">
        <f t="shared" si="89"/>
        <v>6.2222222222222223</v>
      </c>
      <c r="G774" s="9">
        <v>5</v>
      </c>
      <c r="H774" s="9">
        <v>133</v>
      </c>
      <c r="I774" s="7">
        <f t="shared" si="91"/>
        <v>26.6</v>
      </c>
      <c r="J774" s="9"/>
      <c r="K774" s="9"/>
      <c r="L774" s="9"/>
      <c r="M774" s="9"/>
      <c r="N774" s="9"/>
      <c r="O774" s="9"/>
      <c r="P774" s="7"/>
      <c r="Q774" s="9"/>
      <c r="R774" s="9"/>
      <c r="S774" s="7"/>
      <c r="Y774" s="19"/>
      <c r="AA774" s="6"/>
      <c r="AB774" s="13"/>
    </row>
    <row r="775" spans="1:31" x14ac:dyDescent="0.25">
      <c r="A775" s="6" t="s">
        <v>545</v>
      </c>
      <c r="B775" s="9">
        <v>6</v>
      </c>
      <c r="C775" s="9">
        <v>57</v>
      </c>
      <c r="D775" s="9">
        <v>7</v>
      </c>
      <c r="E775" s="9">
        <v>1</v>
      </c>
      <c r="F775" s="7">
        <f t="shared" si="89"/>
        <v>9.5</v>
      </c>
      <c r="G775" s="9">
        <v>3</v>
      </c>
      <c r="H775" s="9">
        <v>99</v>
      </c>
      <c r="I775" s="7">
        <f t="shared" si="91"/>
        <v>33</v>
      </c>
      <c r="J775" s="9"/>
      <c r="K775" s="9"/>
      <c r="L775" s="9"/>
      <c r="M775" s="9"/>
      <c r="N775" s="9"/>
      <c r="O775" s="9"/>
      <c r="P775" s="7"/>
      <c r="Q775" s="9"/>
      <c r="R775" s="9"/>
      <c r="S775" s="7"/>
      <c r="Y775" s="19"/>
      <c r="AA775" s="6"/>
      <c r="AB775" s="13"/>
    </row>
    <row r="776" spans="1:31" x14ac:dyDescent="0.25">
      <c r="A776" s="6" t="s">
        <v>546</v>
      </c>
      <c r="B776" s="9">
        <v>7</v>
      </c>
      <c r="C776" s="9">
        <v>205</v>
      </c>
      <c r="D776" s="9">
        <v>8</v>
      </c>
      <c r="E776" s="9"/>
      <c r="F776" s="7">
        <f t="shared" si="89"/>
        <v>25.625</v>
      </c>
      <c r="G776" s="9">
        <v>6</v>
      </c>
      <c r="H776" s="9">
        <v>167</v>
      </c>
      <c r="I776" s="7">
        <f t="shared" si="91"/>
        <v>27.833333333333332</v>
      </c>
      <c r="J776" s="9"/>
      <c r="K776" s="9"/>
      <c r="L776" s="9"/>
      <c r="M776" s="9"/>
      <c r="N776" s="9"/>
      <c r="O776" s="9"/>
      <c r="P776" s="7"/>
      <c r="Q776" s="9"/>
      <c r="R776" s="9"/>
      <c r="S776" s="7"/>
      <c r="Y776" s="19"/>
      <c r="AA776" s="6"/>
      <c r="AB776" s="13"/>
    </row>
    <row r="777" spans="1:31" x14ac:dyDescent="0.25">
      <c r="A777" s="6" t="s">
        <v>547</v>
      </c>
      <c r="B777" s="9">
        <v>4</v>
      </c>
      <c r="C777" s="9">
        <v>154</v>
      </c>
      <c r="D777" s="9">
        <v>5</v>
      </c>
      <c r="E777" s="9"/>
      <c r="F777" s="7">
        <f t="shared" si="89"/>
        <v>30.8</v>
      </c>
      <c r="G777" s="9">
        <v>1</v>
      </c>
      <c r="H777" s="9">
        <v>47</v>
      </c>
      <c r="I777" s="7">
        <f t="shared" si="91"/>
        <v>47</v>
      </c>
      <c r="J777" s="9"/>
      <c r="K777" s="9"/>
      <c r="L777" s="9"/>
      <c r="M777" s="9"/>
      <c r="N777" s="9"/>
      <c r="O777" s="9"/>
      <c r="P777" s="7"/>
      <c r="Q777" s="9"/>
      <c r="R777" s="9"/>
      <c r="S777" s="7"/>
      <c r="Y777" s="19"/>
      <c r="AA777" s="6"/>
      <c r="AB777" s="13"/>
    </row>
    <row r="778" spans="1:31" x14ac:dyDescent="0.25">
      <c r="A778" s="6" t="s">
        <v>548</v>
      </c>
      <c r="B778" s="9">
        <v>33</v>
      </c>
      <c r="C778" s="9">
        <v>337</v>
      </c>
      <c r="D778" s="9">
        <v>37</v>
      </c>
      <c r="E778" s="9">
        <v>4</v>
      </c>
      <c r="F778" s="7">
        <f t="shared" ref="F778:F885" si="101">(C778/(D778-E778))</f>
        <v>10.212121212121213</v>
      </c>
      <c r="G778" s="9">
        <v>1</v>
      </c>
      <c r="H778" s="9">
        <v>79</v>
      </c>
      <c r="I778" s="7">
        <f t="shared" si="91"/>
        <v>79</v>
      </c>
      <c r="J778" s="9"/>
      <c r="K778" s="9"/>
      <c r="L778" s="9"/>
      <c r="M778" s="9"/>
      <c r="N778" s="9"/>
      <c r="O778" s="9"/>
      <c r="P778" s="7"/>
      <c r="Q778" s="9"/>
      <c r="R778" s="9"/>
      <c r="S778" s="7"/>
      <c r="Y778" s="19"/>
      <c r="AA778" s="6"/>
      <c r="AB778" s="13"/>
    </row>
    <row r="779" spans="1:31" x14ac:dyDescent="0.25">
      <c r="A779" s="6" t="s">
        <v>549</v>
      </c>
      <c r="B779" s="6">
        <v>100</v>
      </c>
      <c r="C779" s="9">
        <v>3337</v>
      </c>
      <c r="D779" s="9">
        <v>97</v>
      </c>
      <c r="E779" s="6">
        <v>19</v>
      </c>
      <c r="F779" s="7">
        <f t="shared" si="101"/>
        <v>42.782051282051285</v>
      </c>
      <c r="G779" s="6">
        <v>85</v>
      </c>
      <c r="H779" s="9">
        <v>1513</v>
      </c>
      <c r="I779" s="7">
        <f t="shared" ref="I779:I886" si="102">(H779/G779)</f>
        <v>17.8</v>
      </c>
      <c r="J779" s="9"/>
      <c r="K779" s="9"/>
      <c r="L779" s="9"/>
      <c r="M779" s="9"/>
      <c r="N779" s="9"/>
      <c r="O779" s="9"/>
      <c r="P779" s="7"/>
      <c r="Q779" s="9"/>
      <c r="R779" s="9"/>
      <c r="S779" s="7"/>
      <c r="U779" s="8">
        <v>1</v>
      </c>
      <c r="V779" s="8"/>
      <c r="W779" s="8"/>
      <c r="X779" s="8"/>
      <c r="Y779" s="8"/>
      <c r="Z779" s="8">
        <v>1</v>
      </c>
      <c r="AA779" s="8">
        <v>18</v>
      </c>
      <c r="AB779" s="13">
        <f t="shared" ref="AB779" si="103">AA779/Z779</f>
        <v>18</v>
      </c>
      <c r="AD779" s="13"/>
      <c r="AE779" s="13" t="s">
        <v>1118</v>
      </c>
    </row>
    <row r="780" spans="1:31" x14ac:dyDescent="0.25">
      <c r="A780" s="6" t="s">
        <v>550</v>
      </c>
      <c r="B780" s="11">
        <v>108.5</v>
      </c>
      <c r="C780" s="6">
        <v>1293</v>
      </c>
      <c r="D780" s="6">
        <v>94</v>
      </c>
      <c r="E780" s="6">
        <v>29</v>
      </c>
      <c r="F780" s="7">
        <f t="shared" si="101"/>
        <v>19.892307692307693</v>
      </c>
      <c r="G780" s="6">
        <v>92</v>
      </c>
      <c r="H780" s="9">
        <v>1708</v>
      </c>
      <c r="I780" s="7">
        <f t="shared" si="102"/>
        <v>18.565217391304348</v>
      </c>
      <c r="J780" s="9"/>
      <c r="K780" s="9"/>
      <c r="L780" s="6">
        <v>19</v>
      </c>
      <c r="M780" s="6">
        <v>115</v>
      </c>
      <c r="N780" s="6">
        <v>9</v>
      </c>
      <c r="O780" s="6">
        <v>3</v>
      </c>
      <c r="P780" s="7">
        <f t="shared" si="95"/>
        <v>19.166666666666668</v>
      </c>
      <c r="Q780" s="6">
        <v>14</v>
      </c>
      <c r="R780" s="6">
        <v>179</v>
      </c>
      <c r="S780" s="7">
        <f t="shared" si="97"/>
        <v>12.785714285714286</v>
      </c>
      <c r="T780" s="13"/>
      <c r="Y780" s="19"/>
      <c r="AB780" s="13"/>
      <c r="AD780" s="6"/>
      <c r="AE780" s="13" t="s">
        <v>735</v>
      </c>
    </row>
    <row r="781" spans="1:31" x14ac:dyDescent="0.25">
      <c r="A781" s="6" t="s">
        <v>551</v>
      </c>
      <c r="B781" s="9">
        <v>10</v>
      </c>
      <c r="C781" s="9">
        <v>96</v>
      </c>
      <c r="D781" s="9">
        <v>10</v>
      </c>
      <c r="E781" s="9"/>
      <c r="F781" s="7">
        <f t="shared" si="101"/>
        <v>9.6</v>
      </c>
      <c r="G781" s="9">
        <v>7</v>
      </c>
      <c r="H781" s="9">
        <v>226</v>
      </c>
      <c r="I781" s="7">
        <f t="shared" si="102"/>
        <v>32.285714285714285</v>
      </c>
      <c r="J781" s="9"/>
      <c r="K781" s="9"/>
      <c r="L781" s="9"/>
      <c r="M781" s="9"/>
      <c r="N781" s="9"/>
      <c r="O781" s="9"/>
      <c r="P781" s="7"/>
      <c r="Q781" s="9"/>
      <c r="R781" s="9"/>
      <c r="S781" s="7"/>
      <c r="Y781" s="19"/>
      <c r="AA781" s="6"/>
      <c r="AB781" s="13"/>
    </row>
    <row r="782" spans="1:31" x14ac:dyDescent="0.25">
      <c r="A782" s="6" t="s">
        <v>978</v>
      </c>
      <c r="B782" s="6">
        <v>53</v>
      </c>
      <c r="C782" s="6">
        <v>1462</v>
      </c>
      <c r="D782" s="6">
        <v>52</v>
      </c>
      <c r="E782" s="6">
        <v>9</v>
      </c>
      <c r="F782" s="7">
        <f t="shared" si="101"/>
        <v>34</v>
      </c>
      <c r="G782" s="9"/>
      <c r="H782" s="9"/>
      <c r="I782" s="7"/>
      <c r="J782" s="9"/>
      <c r="K782" s="9"/>
      <c r="L782" s="9"/>
      <c r="M782" s="9"/>
      <c r="N782" s="9"/>
      <c r="O782" s="9"/>
      <c r="P782" s="7"/>
      <c r="Q782" s="9"/>
      <c r="R782" s="9"/>
      <c r="S782" s="7"/>
      <c r="U782" s="8">
        <v>2</v>
      </c>
      <c r="V782" s="8">
        <v>33</v>
      </c>
      <c r="W782" s="8">
        <v>2</v>
      </c>
      <c r="X782" s="8">
        <v>2</v>
      </c>
      <c r="Y782" s="19"/>
      <c r="Z782" s="8"/>
      <c r="AA782" s="8"/>
      <c r="AB782" s="13"/>
      <c r="AE782" s="13" t="s">
        <v>1180</v>
      </c>
    </row>
    <row r="783" spans="1:31" x14ac:dyDescent="0.25">
      <c r="A783" s="6" t="s">
        <v>552</v>
      </c>
      <c r="B783" s="9">
        <v>11</v>
      </c>
      <c r="C783" s="9">
        <v>264</v>
      </c>
      <c r="D783" s="9">
        <v>11</v>
      </c>
      <c r="E783" s="9">
        <v>2</v>
      </c>
      <c r="F783" s="7">
        <f t="shared" si="101"/>
        <v>29.333333333333332</v>
      </c>
      <c r="G783" s="9"/>
      <c r="H783" s="9">
        <v>20</v>
      </c>
      <c r="I783" s="7"/>
      <c r="J783" s="9"/>
      <c r="K783" s="9"/>
      <c r="L783" s="9"/>
      <c r="M783" s="9"/>
      <c r="N783" s="9"/>
      <c r="O783" s="9"/>
      <c r="P783" s="7"/>
      <c r="Q783" s="9"/>
      <c r="R783" s="9"/>
      <c r="S783" s="7"/>
      <c r="Y783" s="19"/>
      <c r="AA783" s="6"/>
      <c r="AB783" s="13"/>
    </row>
    <row r="784" spans="1:31" x14ac:dyDescent="0.25">
      <c r="A784" s="6" t="s">
        <v>553</v>
      </c>
      <c r="B784" s="9">
        <v>14</v>
      </c>
      <c r="C784" s="9">
        <v>164</v>
      </c>
      <c r="D784" s="9">
        <v>14</v>
      </c>
      <c r="E784" s="9">
        <v>4</v>
      </c>
      <c r="F784" s="7">
        <f t="shared" si="101"/>
        <v>16.399999999999999</v>
      </c>
      <c r="G784" s="9">
        <v>21</v>
      </c>
      <c r="H784" s="9">
        <v>512</v>
      </c>
      <c r="I784" s="7">
        <f t="shared" si="102"/>
        <v>24.38095238095238</v>
      </c>
      <c r="J784" s="9"/>
      <c r="K784" s="9"/>
      <c r="L784" s="9"/>
      <c r="M784" s="9"/>
      <c r="N784" s="9"/>
      <c r="O784" s="9"/>
      <c r="P784" s="7"/>
      <c r="Q784" s="9"/>
      <c r="R784" s="9"/>
      <c r="S784" s="7"/>
      <c r="Y784" s="19"/>
      <c r="AA784" s="6"/>
      <c r="AB784" s="13"/>
    </row>
    <row r="785" spans="1:31" x14ac:dyDescent="0.25">
      <c r="A785" s="6" t="s">
        <v>554</v>
      </c>
      <c r="B785" s="9">
        <v>49</v>
      </c>
      <c r="C785" s="9">
        <v>474</v>
      </c>
      <c r="D785" s="9">
        <v>38</v>
      </c>
      <c r="E785" s="9">
        <v>10</v>
      </c>
      <c r="F785" s="7">
        <f t="shared" si="101"/>
        <v>16.928571428571427</v>
      </c>
      <c r="G785" s="9">
        <v>53</v>
      </c>
      <c r="H785" s="9">
        <v>1062</v>
      </c>
      <c r="I785" s="7">
        <f t="shared" si="102"/>
        <v>20.037735849056602</v>
      </c>
      <c r="J785" s="9"/>
      <c r="K785" s="9"/>
      <c r="L785" s="9"/>
      <c r="M785" s="9"/>
      <c r="N785" s="9"/>
      <c r="O785" s="9"/>
      <c r="P785" s="7"/>
      <c r="Q785" s="9"/>
      <c r="R785" s="9"/>
      <c r="S785" s="7"/>
      <c r="Y785" s="19"/>
      <c r="AA785" s="6"/>
      <c r="AB785" s="13"/>
    </row>
    <row r="786" spans="1:31" x14ac:dyDescent="0.25">
      <c r="A786" s="6" t="s">
        <v>555</v>
      </c>
      <c r="B786" s="9">
        <v>1</v>
      </c>
      <c r="C786" s="9">
        <v>1</v>
      </c>
      <c r="D786" s="9">
        <v>1</v>
      </c>
      <c r="E786" s="9"/>
      <c r="F786" s="7">
        <f t="shared" si="101"/>
        <v>1</v>
      </c>
      <c r="G786" s="9"/>
      <c r="H786" s="9"/>
      <c r="I786" s="7"/>
      <c r="J786" s="9"/>
      <c r="K786" s="9"/>
      <c r="L786" s="9"/>
      <c r="M786" s="9"/>
      <c r="N786" s="9"/>
      <c r="O786" s="9"/>
      <c r="P786" s="7"/>
      <c r="Q786" s="9"/>
      <c r="R786" s="9"/>
      <c r="S786" s="7"/>
      <c r="Y786" s="19"/>
      <c r="AA786" s="6"/>
      <c r="AB786" s="13"/>
    </row>
    <row r="787" spans="1:31" x14ac:dyDescent="0.25">
      <c r="A787" s="6" t="s">
        <v>797</v>
      </c>
      <c r="B787" s="6">
        <v>70</v>
      </c>
      <c r="C787" s="6">
        <v>900</v>
      </c>
      <c r="D787" s="6">
        <v>51</v>
      </c>
      <c r="E787" s="6">
        <v>8</v>
      </c>
      <c r="F787" s="7">
        <f t="shared" si="101"/>
        <v>20.930232558139537</v>
      </c>
      <c r="G787" s="6">
        <v>97</v>
      </c>
      <c r="H787" s="6">
        <v>2121</v>
      </c>
      <c r="I787" s="7">
        <f t="shared" si="102"/>
        <v>21.865979381443299</v>
      </c>
      <c r="J787" s="9"/>
      <c r="K787" s="9"/>
      <c r="L787" s="9"/>
      <c r="M787" s="9"/>
      <c r="N787" s="9"/>
      <c r="O787" s="9"/>
      <c r="P787" s="7"/>
      <c r="Q787" s="9"/>
      <c r="R787" s="9"/>
      <c r="S787" s="7"/>
      <c r="U787" s="13">
        <v>8</v>
      </c>
      <c r="V787" s="13">
        <v>9</v>
      </c>
      <c r="W787" s="13">
        <v>1</v>
      </c>
      <c r="X787" s="13"/>
      <c r="Y787" s="19">
        <f t="shared" si="99"/>
        <v>9</v>
      </c>
      <c r="Z787" s="13">
        <v>9</v>
      </c>
      <c r="AA787" s="13">
        <v>177</v>
      </c>
      <c r="AB787" s="13">
        <f t="shared" ref="AB787:AB804" si="104">AA787/Z787</f>
        <v>19.666666666666668</v>
      </c>
      <c r="AD787" s="13"/>
      <c r="AE787" s="13" t="s">
        <v>979</v>
      </c>
    </row>
    <row r="788" spans="1:31" x14ac:dyDescent="0.25">
      <c r="A788" s="6" t="s">
        <v>980</v>
      </c>
      <c r="B788" s="6">
        <v>32</v>
      </c>
      <c r="C788" s="6">
        <v>260</v>
      </c>
      <c r="D788" s="6">
        <v>23</v>
      </c>
      <c r="E788" s="6">
        <v>15</v>
      </c>
      <c r="F788" s="7">
        <f t="shared" si="101"/>
        <v>32.5</v>
      </c>
      <c r="G788" s="6">
        <v>16</v>
      </c>
      <c r="H788" s="6">
        <v>357</v>
      </c>
      <c r="I788" s="7">
        <f t="shared" si="102"/>
        <v>22.3125</v>
      </c>
      <c r="J788" s="9"/>
      <c r="K788" s="9"/>
      <c r="L788" s="9"/>
      <c r="M788" s="9"/>
      <c r="N788" s="9"/>
      <c r="O788" s="9"/>
      <c r="P788" s="7"/>
      <c r="Q788" s="9"/>
      <c r="R788" s="9"/>
      <c r="S788" s="7"/>
      <c r="U788" s="13"/>
      <c r="V788" s="13"/>
      <c r="W788" s="13"/>
      <c r="X788" s="13"/>
      <c r="Y788" s="19"/>
      <c r="Z788" s="13"/>
      <c r="AA788" s="13"/>
      <c r="AB788" s="13"/>
      <c r="AD788" s="13"/>
      <c r="AE788" s="13" t="s">
        <v>981</v>
      </c>
    </row>
    <row r="789" spans="1:31" x14ac:dyDescent="0.25">
      <c r="A789" s="6" t="s">
        <v>628</v>
      </c>
      <c r="B789" s="9">
        <v>19</v>
      </c>
      <c r="C789" s="9">
        <v>201</v>
      </c>
      <c r="D789" s="9">
        <v>23</v>
      </c>
      <c r="E789" s="9">
        <v>5</v>
      </c>
      <c r="F789" s="7">
        <f t="shared" si="101"/>
        <v>11.166666666666666</v>
      </c>
      <c r="G789" s="9">
        <v>4</v>
      </c>
      <c r="H789" s="9">
        <v>155</v>
      </c>
      <c r="I789" s="7">
        <f t="shared" si="102"/>
        <v>38.75</v>
      </c>
      <c r="J789" s="9"/>
      <c r="K789" s="9"/>
      <c r="L789" s="9"/>
      <c r="M789" s="9"/>
      <c r="N789" s="9"/>
      <c r="O789" s="9"/>
      <c r="P789" s="7"/>
      <c r="Q789" s="9"/>
      <c r="R789" s="9"/>
      <c r="S789" s="7"/>
      <c r="Y789" s="13"/>
      <c r="AA789" s="6"/>
      <c r="AB789" s="13"/>
    </row>
    <row r="790" spans="1:31" x14ac:dyDescent="0.25">
      <c r="A790" s="6" t="s">
        <v>556</v>
      </c>
      <c r="B790" s="9">
        <v>19</v>
      </c>
      <c r="C790" s="9">
        <v>126</v>
      </c>
      <c r="D790" s="9">
        <v>18</v>
      </c>
      <c r="E790" s="9">
        <v>1</v>
      </c>
      <c r="F790" s="7">
        <f t="shared" si="101"/>
        <v>7.4117647058823533</v>
      </c>
      <c r="G790" s="9">
        <v>6</v>
      </c>
      <c r="H790" s="9">
        <v>129</v>
      </c>
      <c r="I790" s="7">
        <f t="shared" si="102"/>
        <v>21.5</v>
      </c>
      <c r="J790" s="9"/>
      <c r="K790" s="9"/>
      <c r="L790" s="9"/>
      <c r="M790" s="9"/>
      <c r="N790" s="9"/>
      <c r="O790" s="9"/>
      <c r="P790" s="7"/>
      <c r="Q790" s="9"/>
      <c r="R790" s="9"/>
      <c r="S790" s="7"/>
      <c r="Y790" s="13"/>
      <c r="AA790" s="6"/>
      <c r="AB790" s="13"/>
    </row>
    <row r="791" spans="1:31" x14ac:dyDescent="0.25">
      <c r="A791" s="6" t="s">
        <v>557</v>
      </c>
      <c r="B791" s="9">
        <v>31</v>
      </c>
      <c r="C791" s="9">
        <v>216</v>
      </c>
      <c r="D791" s="9">
        <v>29</v>
      </c>
      <c r="E791" s="9">
        <v>6</v>
      </c>
      <c r="F791" s="7">
        <f t="shared" si="101"/>
        <v>9.3913043478260878</v>
      </c>
      <c r="G791" s="6">
        <v>68</v>
      </c>
      <c r="H791" s="6">
        <v>709</v>
      </c>
      <c r="I791" s="7">
        <f t="shared" si="102"/>
        <v>10.426470588235293</v>
      </c>
      <c r="J791" s="9"/>
      <c r="K791" s="9"/>
      <c r="L791" s="9"/>
      <c r="M791" s="9"/>
      <c r="N791" s="9"/>
      <c r="O791" s="9"/>
      <c r="P791" s="7"/>
      <c r="Q791" s="9"/>
      <c r="R791" s="9"/>
      <c r="S791" s="7"/>
      <c r="Y791" s="13"/>
      <c r="AA791" s="6"/>
      <c r="AB791" s="13"/>
    </row>
    <row r="792" spans="1:31" x14ac:dyDescent="0.25">
      <c r="A792" s="6" t="s">
        <v>558</v>
      </c>
      <c r="B792" s="9">
        <v>5</v>
      </c>
      <c r="C792" s="9">
        <v>20</v>
      </c>
      <c r="D792" s="9">
        <v>5</v>
      </c>
      <c r="E792" s="9">
        <v>3</v>
      </c>
      <c r="F792" s="7">
        <f t="shared" si="101"/>
        <v>10</v>
      </c>
      <c r="G792" s="9">
        <v>3</v>
      </c>
      <c r="H792" s="9">
        <v>38</v>
      </c>
      <c r="I792" s="7">
        <f t="shared" si="102"/>
        <v>12.666666666666666</v>
      </c>
      <c r="J792" s="9"/>
      <c r="K792" s="9"/>
      <c r="L792" s="9"/>
      <c r="M792" s="9"/>
      <c r="N792" s="9"/>
      <c r="O792" s="9"/>
      <c r="P792" s="7"/>
      <c r="Q792" s="9"/>
      <c r="R792" s="9"/>
      <c r="S792" s="7"/>
      <c r="Y792" s="13"/>
      <c r="AA792" s="6"/>
      <c r="AB792" s="13"/>
    </row>
    <row r="793" spans="1:31" x14ac:dyDescent="0.25">
      <c r="A793" s="6" t="s">
        <v>559</v>
      </c>
      <c r="B793" s="9">
        <v>14</v>
      </c>
      <c r="C793" s="9">
        <v>190</v>
      </c>
      <c r="D793" s="9">
        <v>18</v>
      </c>
      <c r="E793" s="9"/>
      <c r="F793" s="7">
        <f t="shared" si="101"/>
        <v>10.555555555555555</v>
      </c>
      <c r="G793" s="9">
        <v>2</v>
      </c>
      <c r="H793" s="9">
        <v>8</v>
      </c>
      <c r="I793" s="7">
        <f t="shared" si="102"/>
        <v>4</v>
      </c>
      <c r="J793" s="9"/>
      <c r="K793" s="9"/>
      <c r="L793" s="9"/>
      <c r="M793" s="9"/>
      <c r="N793" s="9"/>
      <c r="O793" s="9"/>
      <c r="P793" s="7"/>
      <c r="Q793" s="9"/>
      <c r="R793" s="9"/>
      <c r="S793" s="7"/>
      <c r="Y793" s="13"/>
      <c r="AA793" s="6"/>
      <c r="AB793" s="13"/>
    </row>
    <row r="794" spans="1:31" x14ac:dyDescent="0.25">
      <c r="A794" s="6" t="s">
        <v>560</v>
      </c>
      <c r="B794" s="9">
        <v>19</v>
      </c>
      <c r="C794" s="9">
        <v>407</v>
      </c>
      <c r="D794" s="9">
        <v>21</v>
      </c>
      <c r="E794" s="9">
        <v>3</v>
      </c>
      <c r="F794" s="7">
        <f t="shared" si="101"/>
        <v>22.611111111111111</v>
      </c>
      <c r="G794" s="6">
        <v>26</v>
      </c>
      <c r="H794" s="6">
        <v>343</v>
      </c>
      <c r="I794" s="7">
        <f t="shared" si="102"/>
        <v>13.192307692307692</v>
      </c>
      <c r="J794" s="9"/>
      <c r="K794" s="9"/>
      <c r="L794" s="9"/>
      <c r="M794" s="9"/>
      <c r="N794" s="9"/>
      <c r="O794" s="9"/>
      <c r="P794" s="7"/>
      <c r="Q794" s="9"/>
      <c r="R794" s="9"/>
      <c r="S794" s="7"/>
      <c r="Y794" s="13"/>
      <c r="AA794" s="6"/>
      <c r="AB794" s="13"/>
    </row>
    <row r="795" spans="1:31" x14ac:dyDescent="0.25">
      <c r="A795" s="6" t="s">
        <v>561</v>
      </c>
      <c r="B795" s="9">
        <v>7</v>
      </c>
      <c r="C795" s="9">
        <v>92</v>
      </c>
      <c r="D795" s="9">
        <v>8</v>
      </c>
      <c r="E795" s="9"/>
      <c r="F795" s="7">
        <f t="shared" si="101"/>
        <v>11.5</v>
      </c>
      <c r="G795" s="9"/>
      <c r="H795" s="6">
        <v>4</v>
      </c>
      <c r="I795" s="7"/>
      <c r="J795" s="9"/>
      <c r="K795" s="9"/>
      <c r="L795" s="9"/>
      <c r="M795" s="9"/>
      <c r="N795" s="9"/>
      <c r="O795" s="9"/>
      <c r="P795" s="7"/>
      <c r="Q795" s="9"/>
      <c r="R795" s="9"/>
      <c r="S795" s="7"/>
      <c r="Y795" s="13"/>
      <c r="AA795" s="6"/>
      <c r="AB795" s="13"/>
    </row>
    <row r="796" spans="1:31" x14ac:dyDescent="0.25">
      <c r="A796" s="6" t="s">
        <v>562</v>
      </c>
      <c r="B796" s="6">
        <v>1</v>
      </c>
      <c r="C796" s="9"/>
      <c r="D796" s="9"/>
      <c r="E796" s="9"/>
      <c r="F796" s="7"/>
      <c r="G796" s="9"/>
      <c r="H796" s="9"/>
      <c r="I796" s="7"/>
      <c r="J796" s="9"/>
      <c r="K796" s="9"/>
      <c r="L796" s="9"/>
      <c r="M796" s="9"/>
      <c r="N796" s="9"/>
      <c r="O796" s="9"/>
      <c r="P796" s="7"/>
      <c r="Q796" s="9"/>
      <c r="R796" s="9"/>
      <c r="S796" s="7"/>
      <c r="Y796" s="13"/>
      <c r="AA796" s="6"/>
      <c r="AB796" s="13"/>
    </row>
    <row r="797" spans="1:31" x14ac:dyDescent="0.25">
      <c r="A797" s="6" t="s">
        <v>898</v>
      </c>
      <c r="B797" s="6">
        <v>51</v>
      </c>
      <c r="C797" s="6">
        <v>661</v>
      </c>
      <c r="D797" s="6">
        <v>45</v>
      </c>
      <c r="E797" s="6">
        <v>12</v>
      </c>
      <c r="F797" s="7">
        <f t="shared" si="101"/>
        <v>20.030303030303031</v>
      </c>
      <c r="G797" s="6">
        <v>60</v>
      </c>
      <c r="H797" s="6">
        <v>1516</v>
      </c>
      <c r="I797" s="7">
        <f t="shared" si="102"/>
        <v>25.266666666666666</v>
      </c>
      <c r="J797" s="9"/>
      <c r="K797" s="9"/>
      <c r="L797" s="9"/>
      <c r="M797" s="9"/>
      <c r="N797" s="9"/>
      <c r="O797" s="9"/>
      <c r="P797" s="7"/>
      <c r="Q797" s="9"/>
      <c r="R797" s="9"/>
      <c r="S797" s="7"/>
      <c r="U797" s="13">
        <v>12</v>
      </c>
      <c r="V797" s="13">
        <v>62</v>
      </c>
      <c r="W797" s="13">
        <v>8</v>
      </c>
      <c r="X797" s="13">
        <v>2</v>
      </c>
      <c r="Y797" s="13">
        <f t="shared" si="99"/>
        <v>10.333333333333334</v>
      </c>
      <c r="Z797" s="13">
        <v>9</v>
      </c>
      <c r="AA797" s="13">
        <v>195</v>
      </c>
      <c r="AB797" s="13">
        <f t="shared" si="104"/>
        <v>21.666666666666668</v>
      </c>
      <c r="AE797" s="13" t="s">
        <v>1181</v>
      </c>
    </row>
    <row r="798" spans="1:31" x14ac:dyDescent="0.25">
      <c r="A798" s="6" t="s">
        <v>798</v>
      </c>
      <c r="B798" s="9">
        <v>41.5</v>
      </c>
      <c r="C798" s="9">
        <v>452</v>
      </c>
      <c r="D798" s="9">
        <v>35</v>
      </c>
      <c r="E798" s="9">
        <v>7</v>
      </c>
      <c r="F798" s="7">
        <f t="shared" si="101"/>
        <v>16.142857142857142</v>
      </c>
      <c r="G798" s="9">
        <v>34</v>
      </c>
      <c r="H798" s="9">
        <v>875</v>
      </c>
      <c r="I798" s="7">
        <f t="shared" si="102"/>
        <v>25.735294117647058</v>
      </c>
      <c r="J798" s="9"/>
      <c r="K798" s="9"/>
      <c r="L798" s="6">
        <v>4</v>
      </c>
      <c r="M798" s="6">
        <v>86</v>
      </c>
      <c r="N798" s="6">
        <v>4</v>
      </c>
      <c r="O798" s="9"/>
      <c r="P798" s="7">
        <f t="shared" si="95"/>
        <v>21.5</v>
      </c>
      <c r="Q798" s="6">
        <v>4</v>
      </c>
      <c r="R798" s="6">
        <v>104</v>
      </c>
      <c r="S798" s="7">
        <f t="shared" si="97"/>
        <v>26</v>
      </c>
      <c r="T798" s="8"/>
      <c r="U798" s="13">
        <v>2</v>
      </c>
      <c r="V798" s="13">
        <v>4</v>
      </c>
      <c r="W798" s="13">
        <v>1</v>
      </c>
      <c r="X798" s="13"/>
      <c r="Y798" s="13">
        <f t="shared" si="99"/>
        <v>4</v>
      </c>
      <c r="Z798" s="13">
        <v>1</v>
      </c>
      <c r="AA798" s="13">
        <v>54</v>
      </c>
      <c r="AB798" s="13">
        <f t="shared" si="104"/>
        <v>54</v>
      </c>
      <c r="AC798" s="13"/>
      <c r="AD798" s="6"/>
      <c r="AE798" s="13" t="s">
        <v>899</v>
      </c>
    </row>
    <row r="799" spans="1:31" x14ac:dyDescent="0.25">
      <c r="A799" s="6" t="s">
        <v>563</v>
      </c>
      <c r="B799" s="9">
        <v>3</v>
      </c>
      <c r="C799" s="9">
        <v>20</v>
      </c>
      <c r="D799" s="9">
        <v>3</v>
      </c>
      <c r="E799" s="9">
        <v>2</v>
      </c>
      <c r="F799" s="7">
        <f t="shared" si="101"/>
        <v>20</v>
      </c>
      <c r="G799" s="9"/>
      <c r="H799" s="9"/>
      <c r="I799" s="7"/>
      <c r="J799" s="9"/>
      <c r="K799" s="9"/>
      <c r="L799" s="9"/>
      <c r="M799" s="9"/>
      <c r="N799" s="9"/>
      <c r="O799" s="9"/>
      <c r="P799" s="7"/>
      <c r="Q799" s="9"/>
      <c r="R799" s="9"/>
      <c r="S799" s="7"/>
      <c r="U799" s="13"/>
      <c r="Y799" s="13"/>
      <c r="AA799" s="6"/>
      <c r="AB799" s="13"/>
    </row>
    <row r="800" spans="1:31" x14ac:dyDescent="0.25">
      <c r="A800" s="6" t="s">
        <v>1053</v>
      </c>
      <c r="B800" s="6">
        <v>96</v>
      </c>
      <c r="C800" s="6">
        <v>772</v>
      </c>
      <c r="D800" s="6">
        <v>59</v>
      </c>
      <c r="E800" s="6">
        <v>24</v>
      </c>
      <c r="F800" s="7">
        <f t="shared" si="101"/>
        <v>22.057142857142857</v>
      </c>
      <c r="G800" s="6">
        <v>33</v>
      </c>
      <c r="H800" s="6">
        <v>714</v>
      </c>
      <c r="I800" s="7">
        <f t="shared" si="102"/>
        <v>21.636363636363637</v>
      </c>
      <c r="J800" s="6">
        <v>6</v>
      </c>
      <c r="K800" s="6">
        <v>6</v>
      </c>
      <c r="L800" s="6"/>
      <c r="M800" s="6"/>
      <c r="N800" s="6"/>
      <c r="O800" s="6"/>
      <c r="P800" s="6"/>
      <c r="Q800" s="6"/>
      <c r="R800" s="6"/>
      <c r="S800" s="6"/>
      <c r="T800" s="6"/>
      <c r="U800" s="6">
        <v>9</v>
      </c>
      <c r="V800" s="6">
        <v>175</v>
      </c>
      <c r="W800" s="6">
        <v>8</v>
      </c>
      <c r="X800" s="6">
        <v>2</v>
      </c>
      <c r="Y800" s="13">
        <f t="shared" si="99"/>
        <v>29.166666666666668</v>
      </c>
      <c r="Z800" s="6">
        <v>11</v>
      </c>
      <c r="AA800" s="6">
        <v>204</v>
      </c>
      <c r="AB800" s="13">
        <f t="shared" si="104"/>
        <v>18.545454545454547</v>
      </c>
      <c r="AE800" s="13" t="s">
        <v>1182</v>
      </c>
    </row>
    <row r="801" spans="1:31" x14ac:dyDescent="0.25">
      <c r="A801" s="6" t="s">
        <v>900</v>
      </c>
      <c r="B801" s="6">
        <v>2</v>
      </c>
      <c r="C801" s="6">
        <v>10</v>
      </c>
      <c r="D801" s="6">
        <v>1</v>
      </c>
      <c r="E801" s="6">
        <v>1</v>
      </c>
      <c r="F801" s="7"/>
      <c r="G801" s="6"/>
      <c r="H801" s="6"/>
      <c r="I801" s="6"/>
      <c r="J801" s="9">
        <v>1</v>
      </c>
      <c r="K801" s="9"/>
      <c r="L801" s="9"/>
      <c r="M801" s="9"/>
      <c r="N801" s="9"/>
      <c r="O801" s="9"/>
      <c r="P801" s="7"/>
      <c r="Q801" s="9"/>
      <c r="R801" s="9"/>
      <c r="S801" s="7"/>
      <c r="Y801" s="13"/>
      <c r="Z801"/>
      <c r="AA801" s="6"/>
      <c r="AB801" s="13"/>
      <c r="AE801" s="13" t="s">
        <v>1021</v>
      </c>
    </row>
    <row r="802" spans="1:31" x14ac:dyDescent="0.25">
      <c r="A802" s="6" t="s">
        <v>717</v>
      </c>
      <c r="B802" s="9">
        <v>25</v>
      </c>
      <c r="C802" s="6">
        <v>110</v>
      </c>
      <c r="D802" s="9">
        <v>23</v>
      </c>
      <c r="E802" s="9">
        <v>9</v>
      </c>
      <c r="F802" s="7">
        <f t="shared" si="101"/>
        <v>7.8571428571428568</v>
      </c>
      <c r="G802" s="9">
        <v>12</v>
      </c>
      <c r="H802" s="9">
        <v>303</v>
      </c>
      <c r="I802" s="7">
        <f t="shared" si="102"/>
        <v>25.25</v>
      </c>
      <c r="J802" s="9"/>
      <c r="K802" s="9"/>
      <c r="L802" s="6">
        <v>2</v>
      </c>
      <c r="M802" s="6">
        <v>3</v>
      </c>
      <c r="N802" s="6">
        <v>2</v>
      </c>
      <c r="O802" s="6">
        <v>2</v>
      </c>
      <c r="P802" s="7"/>
      <c r="Q802" s="9"/>
      <c r="R802" s="6">
        <v>45</v>
      </c>
      <c r="S802" s="7"/>
      <c r="T802" s="8"/>
      <c r="Y802" s="13"/>
      <c r="AB802" s="13"/>
      <c r="AD802" s="6"/>
      <c r="AE802" s="13" t="s">
        <v>875</v>
      </c>
    </row>
    <row r="803" spans="1:31" x14ac:dyDescent="0.25">
      <c r="A803" s="6" t="s">
        <v>564</v>
      </c>
      <c r="B803" s="9">
        <v>7</v>
      </c>
      <c r="C803" s="6">
        <v>119</v>
      </c>
      <c r="D803" s="9">
        <v>12</v>
      </c>
      <c r="E803" s="9">
        <v>1</v>
      </c>
      <c r="F803" s="7">
        <f t="shared" si="101"/>
        <v>10.818181818181818</v>
      </c>
      <c r="G803" s="9">
        <v>1</v>
      </c>
      <c r="H803" s="6">
        <v>136</v>
      </c>
      <c r="I803" s="7">
        <f t="shared" si="102"/>
        <v>136</v>
      </c>
      <c r="J803" s="9"/>
      <c r="K803" s="9"/>
      <c r="L803" s="6">
        <v>12</v>
      </c>
      <c r="M803" s="6">
        <v>119</v>
      </c>
      <c r="N803" s="6">
        <v>12</v>
      </c>
      <c r="O803" s="6">
        <v>1</v>
      </c>
      <c r="P803" s="7">
        <f t="shared" si="95"/>
        <v>10.818181818181818</v>
      </c>
      <c r="Q803" s="6">
        <v>1</v>
      </c>
      <c r="R803" s="6">
        <v>136</v>
      </c>
      <c r="S803" s="7">
        <f t="shared" si="97"/>
        <v>136</v>
      </c>
      <c r="T803" s="8"/>
      <c r="Y803" s="13"/>
      <c r="AB803" s="13"/>
      <c r="AD803" s="6"/>
      <c r="AE803" s="13" t="s">
        <v>876</v>
      </c>
    </row>
    <row r="804" spans="1:31" x14ac:dyDescent="0.25">
      <c r="A804" s="6" t="s">
        <v>799</v>
      </c>
      <c r="B804" s="6">
        <v>79.5</v>
      </c>
      <c r="C804" s="6">
        <v>1661</v>
      </c>
      <c r="D804" s="6">
        <v>67</v>
      </c>
      <c r="E804" s="6">
        <v>13</v>
      </c>
      <c r="F804" s="7">
        <f t="shared" si="101"/>
        <v>30.75925925925926</v>
      </c>
      <c r="G804" s="6">
        <v>95</v>
      </c>
      <c r="H804" s="6">
        <v>1959</v>
      </c>
      <c r="I804" s="7">
        <f t="shared" si="102"/>
        <v>20.621052631578948</v>
      </c>
      <c r="J804" s="9"/>
      <c r="K804" s="9"/>
      <c r="L804" s="6">
        <v>5</v>
      </c>
      <c r="M804" s="6">
        <v>25</v>
      </c>
      <c r="N804" s="9">
        <v>3</v>
      </c>
      <c r="O804" s="6">
        <v>1</v>
      </c>
      <c r="P804" s="7">
        <f t="shared" si="95"/>
        <v>12.5</v>
      </c>
      <c r="Q804" s="9">
        <v>5</v>
      </c>
      <c r="R804" s="6">
        <v>96</v>
      </c>
      <c r="S804" s="7">
        <f t="shared" si="97"/>
        <v>19.2</v>
      </c>
      <c r="T804" s="8"/>
      <c r="U804" s="13">
        <v>5</v>
      </c>
      <c r="V804" s="13">
        <v>8</v>
      </c>
      <c r="W804" s="13">
        <v>3</v>
      </c>
      <c r="X804" s="13"/>
      <c r="Y804" s="13">
        <f t="shared" si="99"/>
        <v>2.6666666666666665</v>
      </c>
      <c r="Z804" s="13">
        <v>9</v>
      </c>
      <c r="AA804" s="13">
        <v>63</v>
      </c>
      <c r="AB804" s="13">
        <f t="shared" si="104"/>
        <v>7</v>
      </c>
      <c r="AD804" s="6"/>
      <c r="AE804" s="8" t="s">
        <v>1005</v>
      </c>
    </row>
    <row r="805" spans="1:31" x14ac:dyDescent="0.25">
      <c r="A805" s="6" t="s">
        <v>864</v>
      </c>
      <c r="B805" s="9">
        <v>7</v>
      </c>
      <c r="C805" s="6">
        <v>190</v>
      </c>
      <c r="D805" s="9">
        <v>7</v>
      </c>
      <c r="E805" s="9"/>
      <c r="F805" s="7">
        <f t="shared" si="101"/>
        <v>27.142857142857142</v>
      </c>
      <c r="G805" s="9"/>
      <c r="H805" s="9"/>
      <c r="I805" s="7"/>
      <c r="J805" s="9"/>
      <c r="K805" s="9"/>
      <c r="L805" s="9"/>
      <c r="M805" s="9"/>
      <c r="N805" s="9"/>
      <c r="O805" s="9"/>
      <c r="P805" s="7"/>
      <c r="Q805" s="9"/>
      <c r="R805" s="9"/>
      <c r="S805" s="7"/>
      <c r="T805" s="8"/>
      <c r="Y805" s="13"/>
      <c r="AA805" s="6"/>
      <c r="AB805" s="13"/>
    </row>
    <row r="806" spans="1:31" x14ac:dyDescent="0.25">
      <c r="A806" s="6" t="s">
        <v>565</v>
      </c>
      <c r="B806" s="9">
        <v>1</v>
      </c>
      <c r="C806" s="9">
        <v>2</v>
      </c>
      <c r="D806" s="9">
        <v>1</v>
      </c>
      <c r="E806" s="6"/>
      <c r="F806" s="15">
        <f t="shared" si="101"/>
        <v>2</v>
      </c>
      <c r="G806" s="9">
        <v>1</v>
      </c>
      <c r="H806" s="9">
        <v>1</v>
      </c>
      <c r="I806" s="15">
        <f t="shared" si="102"/>
        <v>1</v>
      </c>
      <c r="J806" s="6"/>
      <c r="K806" s="6"/>
      <c r="L806" s="6">
        <v>1</v>
      </c>
      <c r="M806" s="6">
        <v>2</v>
      </c>
      <c r="N806" s="6">
        <v>1</v>
      </c>
      <c r="O806" s="9"/>
      <c r="P806" s="7">
        <f t="shared" si="95"/>
        <v>2</v>
      </c>
      <c r="Q806" s="9">
        <v>2</v>
      </c>
      <c r="R806" s="6">
        <v>26</v>
      </c>
      <c r="S806" s="7">
        <f t="shared" si="97"/>
        <v>13</v>
      </c>
      <c r="T806" s="9"/>
      <c r="Y806" s="13"/>
      <c r="AB806" s="13"/>
      <c r="AD806" s="6"/>
      <c r="AE806" s="8" t="s">
        <v>23</v>
      </c>
    </row>
    <row r="807" spans="1:31" x14ac:dyDescent="0.25">
      <c r="A807" s="6" t="s">
        <v>566</v>
      </c>
      <c r="B807" s="9">
        <v>11</v>
      </c>
      <c r="C807" s="9">
        <v>184</v>
      </c>
      <c r="D807" s="9">
        <v>12</v>
      </c>
      <c r="E807" s="9"/>
      <c r="F807" s="7">
        <f t="shared" si="101"/>
        <v>15.333333333333334</v>
      </c>
      <c r="G807" s="9"/>
      <c r="H807" s="9">
        <v>23</v>
      </c>
      <c r="I807" s="7"/>
      <c r="J807" s="9"/>
      <c r="K807" s="9"/>
      <c r="L807" s="9"/>
      <c r="M807" s="9"/>
      <c r="N807" s="9"/>
      <c r="O807" s="9"/>
      <c r="P807" s="7"/>
      <c r="Q807" s="9"/>
      <c r="R807" s="9"/>
      <c r="S807" s="7"/>
      <c r="Y807" s="13"/>
      <c r="AA807" s="6"/>
      <c r="AB807" s="13"/>
    </row>
    <row r="808" spans="1:31" x14ac:dyDescent="0.25">
      <c r="A808" s="6" t="s">
        <v>567</v>
      </c>
      <c r="B808" s="9">
        <v>18</v>
      </c>
      <c r="C808" s="9">
        <v>702</v>
      </c>
      <c r="D808" s="9">
        <v>18</v>
      </c>
      <c r="E808" s="9">
        <v>2</v>
      </c>
      <c r="F808" s="7">
        <f t="shared" si="101"/>
        <v>43.875</v>
      </c>
      <c r="G808" s="9">
        <v>2</v>
      </c>
      <c r="H808" s="6">
        <v>106</v>
      </c>
      <c r="I808" s="7">
        <f t="shared" si="102"/>
        <v>53</v>
      </c>
      <c r="J808" s="9"/>
      <c r="K808" s="9"/>
      <c r="L808" s="9"/>
      <c r="M808" s="9"/>
      <c r="N808" s="9"/>
      <c r="O808" s="9"/>
      <c r="P808" s="7"/>
      <c r="Q808" s="9"/>
      <c r="R808" s="9"/>
      <c r="S808" s="7"/>
      <c r="Y808" s="13"/>
      <c r="AA808" s="6"/>
      <c r="AB808" s="13"/>
    </row>
    <row r="809" spans="1:31" x14ac:dyDescent="0.25">
      <c r="A809" s="6" t="s">
        <v>568</v>
      </c>
      <c r="B809" s="9">
        <v>8</v>
      </c>
      <c r="C809" s="9">
        <v>59</v>
      </c>
      <c r="D809" s="9">
        <v>8</v>
      </c>
      <c r="E809" s="9">
        <v>1</v>
      </c>
      <c r="F809" s="7">
        <f t="shared" si="101"/>
        <v>8.4285714285714288</v>
      </c>
      <c r="G809" s="9">
        <v>3</v>
      </c>
      <c r="H809" s="6">
        <v>121</v>
      </c>
      <c r="I809" s="7">
        <f t="shared" si="102"/>
        <v>40.333333333333336</v>
      </c>
      <c r="J809" s="9"/>
      <c r="K809" s="9"/>
      <c r="L809" s="9"/>
      <c r="M809" s="9"/>
      <c r="N809" s="9"/>
      <c r="O809" s="9"/>
      <c r="P809" s="7"/>
      <c r="Q809" s="9"/>
      <c r="R809" s="9"/>
      <c r="S809" s="7"/>
      <c r="Y809" s="13"/>
      <c r="AA809" s="6"/>
      <c r="AB809" s="13"/>
    </row>
    <row r="810" spans="1:31" x14ac:dyDescent="0.25">
      <c r="A810" s="6" t="s">
        <v>569</v>
      </c>
      <c r="B810" s="9">
        <v>1</v>
      </c>
      <c r="C810" s="9">
        <v>20</v>
      </c>
      <c r="D810" s="9">
        <v>1</v>
      </c>
      <c r="E810" s="9"/>
      <c r="F810" s="7">
        <f t="shared" si="101"/>
        <v>20</v>
      </c>
      <c r="G810" s="9"/>
      <c r="H810" s="9"/>
      <c r="I810" s="7"/>
      <c r="J810" s="9"/>
      <c r="K810" s="9"/>
      <c r="L810" s="9"/>
      <c r="M810" s="9"/>
      <c r="N810" s="9"/>
      <c r="O810" s="9"/>
      <c r="P810" s="7"/>
      <c r="Q810" s="9"/>
      <c r="R810" s="9"/>
      <c r="S810" s="7"/>
      <c r="Y810" s="13"/>
      <c r="AA810" s="6"/>
      <c r="AB810" s="13"/>
    </row>
    <row r="811" spans="1:31" x14ac:dyDescent="0.25">
      <c r="A811" s="6" t="s">
        <v>570</v>
      </c>
      <c r="B811" s="9">
        <v>44</v>
      </c>
      <c r="C811" s="9">
        <v>389</v>
      </c>
      <c r="D811" s="9">
        <v>41</v>
      </c>
      <c r="E811" s="9">
        <v>8</v>
      </c>
      <c r="F811" s="7">
        <f t="shared" si="101"/>
        <v>11.787878787878787</v>
      </c>
      <c r="G811" s="9">
        <v>45</v>
      </c>
      <c r="H811" s="6">
        <v>563</v>
      </c>
      <c r="I811" s="7">
        <f t="shared" si="102"/>
        <v>12.511111111111111</v>
      </c>
      <c r="J811" s="9"/>
      <c r="K811" s="9"/>
      <c r="L811" s="9"/>
      <c r="M811" s="9"/>
      <c r="N811" s="9"/>
      <c r="O811" s="9"/>
      <c r="P811" s="7"/>
      <c r="Q811" s="9"/>
      <c r="R811" s="9"/>
      <c r="S811" s="7"/>
      <c r="Y811" s="13"/>
      <c r="AA811" s="6"/>
      <c r="AB811" s="13"/>
    </row>
    <row r="812" spans="1:31" x14ac:dyDescent="0.25">
      <c r="A812" s="6" t="s">
        <v>865</v>
      </c>
      <c r="B812" s="9">
        <v>10</v>
      </c>
      <c r="C812" s="9">
        <v>6</v>
      </c>
      <c r="D812" s="9">
        <v>7</v>
      </c>
      <c r="E812" s="9">
        <v>1</v>
      </c>
      <c r="F812" s="7">
        <f t="shared" si="101"/>
        <v>1</v>
      </c>
      <c r="G812" s="9">
        <v>9</v>
      </c>
      <c r="H812" s="6">
        <v>213</v>
      </c>
      <c r="I812" s="7">
        <f t="shared" si="102"/>
        <v>23.666666666666668</v>
      </c>
      <c r="J812" s="9"/>
      <c r="K812" s="9"/>
      <c r="L812" s="9"/>
      <c r="M812" s="9"/>
      <c r="N812" s="9"/>
      <c r="O812" s="9"/>
      <c r="P812" s="7"/>
      <c r="Q812" s="9"/>
      <c r="R812" s="9"/>
      <c r="S812" s="7"/>
      <c r="Y812" s="13"/>
      <c r="AA812" s="6"/>
      <c r="AB812" s="13"/>
    </row>
    <row r="813" spans="1:31" x14ac:dyDescent="0.25">
      <c r="A813" s="6" t="s">
        <v>571</v>
      </c>
      <c r="B813" s="9">
        <v>15</v>
      </c>
      <c r="C813" s="9">
        <v>32</v>
      </c>
      <c r="D813" s="9">
        <v>10</v>
      </c>
      <c r="E813" s="9">
        <v>6</v>
      </c>
      <c r="F813" s="7">
        <f t="shared" si="101"/>
        <v>8</v>
      </c>
      <c r="G813" s="9">
        <v>43</v>
      </c>
      <c r="H813" s="9">
        <v>563</v>
      </c>
      <c r="I813" s="7">
        <f t="shared" si="102"/>
        <v>13.093023255813954</v>
      </c>
      <c r="J813" s="9"/>
      <c r="K813" s="9"/>
      <c r="L813" s="9"/>
      <c r="M813" s="9"/>
      <c r="N813" s="9"/>
      <c r="O813" s="9"/>
      <c r="P813" s="7"/>
      <c r="Q813" s="9"/>
      <c r="R813" s="9"/>
      <c r="S813" s="7"/>
      <c r="Y813" s="13"/>
      <c r="AA813" s="6"/>
      <c r="AB813" s="13"/>
    </row>
    <row r="814" spans="1:31" x14ac:dyDescent="0.25">
      <c r="A814" s="6" t="s">
        <v>838</v>
      </c>
      <c r="B814" s="9">
        <v>2</v>
      </c>
      <c r="C814" s="9">
        <v>3</v>
      </c>
      <c r="D814" s="9">
        <v>2</v>
      </c>
      <c r="E814" s="9"/>
      <c r="F814" s="7">
        <f t="shared" si="101"/>
        <v>1.5</v>
      </c>
      <c r="G814" s="9">
        <v>2</v>
      </c>
      <c r="H814" s="9">
        <v>62</v>
      </c>
      <c r="I814" s="7">
        <f t="shared" si="102"/>
        <v>31</v>
      </c>
      <c r="J814" s="9"/>
      <c r="K814" s="9"/>
      <c r="L814" s="6">
        <v>2</v>
      </c>
      <c r="M814" s="6">
        <v>3</v>
      </c>
      <c r="N814" s="6">
        <v>2</v>
      </c>
      <c r="O814" s="9"/>
      <c r="P814" s="7">
        <f t="shared" ref="P814" si="105">(M814/(N814-O814))</f>
        <v>1.5</v>
      </c>
      <c r="Q814" s="6">
        <v>2</v>
      </c>
      <c r="R814" s="6">
        <v>63</v>
      </c>
      <c r="S814" s="7">
        <f t="shared" ref="S814" si="106">(R814/Q814)</f>
        <v>31.5</v>
      </c>
      <c r="Y814" s="13"/>
      <c r="AB814" s="13"/>
      <c r="AD814" s="6"/>
      <c r="AE814" s="8" t="s">
        <v>41</v>
      </c>
    </row>
    <row r="815" spans="1:31" x14ac:dyDescent="0.25">
      <c r="A815" s="6" t="s">
        <v>572</v>
      </c>
      <c r="B815" s="9">
        <v>73</v>
      </c>
      <c r="C815" s="9">
        <v>629</v>
      </c>
      <c r="D815" s="9">
        <v>65</v>
      </c>
      <c r="E815" s="9">
        <v>11</v>
      </c>
      <c r="F815" s="7">
        <f t="shared" si="101"/>
        <v>11.648148148148149</v>
      </c>
      <c r="G815" s="9">
        <v>119</v>
      </c>
      <c r="H815" s="9">
        <v>1710</v>
      </c>
      <c r="I815" s="7">
        <f t="shared" si="102"/>
        <v>14.369747899159664</v>
      </c>
      <c r="J815" s="9"/>
      <c r="K815" s="9"/>
      <c r="L815" s="9"/>
      <c r="M815" s="9"/>
      <c r="N815" s="9"/>
      <c r="O815" s="9"/>
      <c r="P815" s="7"/>
      <c r="Q815" s="9"/>
      <c r="R815" s="9"/>
      <c r="S815" s="7"/>
      <c r="Y815" s="13"/>
      <c r="AA815" s="6"/>
      <c r="AB815" s="13"/>
    </row>
    <row r="816" spans="1:31" x14ac:dyDescent="0.25">
      <c r="A816" s="6" t="s">
        <v>982</v>
      </c>
      <c r="B816" s="9">
        <v>4</v>
      </c>
      <c r="C816" s="9">
        <v>4</v>
      </c>
      <c r="D816" s="9">
        <v>3</v>
      </c>
      <c r="E816" s="9">
        <v>2</v>
      </c>
      <c r="F816" s="7">
        <f t="shared" si="101"/>
        <v>4</v>
      </c>
      <c r="G816" s="9">
        <v>2</v>
      </c>
      <c r="H816" s="9">
        <v>112</v>
      </c>
      <c r="I816" s="7">
        <f t="shared" si="102"/>
        <v>56</v>
      </c>
      <c r="J816" s="9"/>
      <c r="K816" s="9"/>
      <c r="L816" s="9"/>
      <c r="M816" s="9"/>
      <c r="N816" s="9"/>
      <c r="O816" s="9"/>
      <c r="P816" s="7"/>
      <c r="Q816" s="9"/>
      <c r="R816" s="9"/>
      <c r="S816" s="7"/>
      <c r="Y816" s="13"/>
      <c r="AA816" s="6"/>
      <c r="AB816" s="13"/>
      <c r="AE816" s="1" t="s">
        <v>983</v>
      </c>
    </row>
    <row r="817" spans="1:31" x14ac:dyDescent="0.25">
      <c r="A817" s="6" t="s">
        <v>573</v>
      </c>
      <c r="B817" s="9">
        <v>6</v>
      </c>
      <c r="C817" s="9">
        <v>98</v>
      </c>
      <c r="D817" s="9">
        <v>6</v>
      </c>
      <c r="E817" s="9"/>
      <c r="F817" s="7">
        <f t="shared" si="101"/>
        <v>16.333333333333332</v>
      </c>
      <c r="G817" s="9">
        <v>8</v>
      </c>
      <c r="H817" s="9">
        <v>171</v>
      </c>
      <c r="I817" s="7">
        <f t="shared" si="102"/>
        <v>21.375</v>
      </c>
      <c r="J817" s="9"/>
      <c r="K817" s="9"/>
      <c r="L817" s="9"/>
      <c r="M817" s="9"/>
      <c r="N817" s="9"/>
      <c r="O817" s="9"/>
      <c r="P817" s="7"/>
      <c r="Q817" s="9"/>
      <c r="R817" s="9"/>
      <c r="S817" s="7"/>
      <c r="Y817" s="13"/>
      <c r="AA817" s="6"/>
      <c r="AB817" s="13"/>
    </row>
    <row r="818" spans="1:31" x14ac:dyDescent="0.25">
      <c r="A818" s="6" t="s">
        <v>574</v>
      </c>
      <c r="B818" s="9">
        <v>60</v>
      </c>
      <c r="C818" s="9">
        <v>442</v>
      </c>
      <c r="D818" s="9">
        <v>51</v>
      </c>
      <c r="E818" s="9">
        <v>23</v>
      </c>
      <c r="F818" s="7">
        <f t="shared" si="101"/>
        <v>15.785714285714286</v>
      </c>
      <c r="G818" s="9">
        <v>45</v>
      </c>
      <c r="H818" s="9">
        <v>609</v>
      </c>
      <c r="I818" s="7">
        <f t="shared" si="102"/>
        <v>13.533333333333333</v>
      </c>
      <c r="J818" s="9"/>
      <c r="K818" s="9"/>
      <c r="L818" s="9"/>
      <c r="M818" s="9"/>
      <c r="N818" s="9"/>
      <c r="O818" s="9"/>
      <c r="P818" s="7"/>
      <c r="Q818" s="9"/>
      <c r="R818" s="9"/>
      <c r="S818" s="7"/>
      <c r="Y818" s="13"/>
      <c r="AA818" s="6"/>
      <c r="AB818" s="13"/>
    </row>
    <row r="819" spans="1:31" x14ac:dyDescent="0.25">
      <c r="A819" s="6" t="s">
        <v>575</v>
      </c>
      <c r="B819" s="9">
        <v>7</v>
      </c>
      <c r="C819" s="9">
        <v>80</v>
      </c>
      <c r="D819" s="9">
        <v>9</v>
      </c>
      <c r="E819" s="9"/>
      <c r="F819" s="7">
        <f t="shared" si="101"/>
        <v>8.8888888888888893</v>
      </c>
      <c r="G819" s="9">
        <v>4</v>
      </c>
      <c r="H819" s="9">
        <v>41</v>
      </c>
      <c r="I819" s="7">
        <f t="shared" si="102"/>
        <v>10.25</v>
      </c>
      <c r="J819" s="9"/>
      <c r="K819" s="9"/>
      <c r="L819" s="9"/>
      <c r="M819" s="9"/>
      <c r="N819" s="9"/>
      <c r="O819" s="9"/>
      <c r="P819" s="7"/>
      <c r="Q819" s="9"/>
      <c r="R819" s="9"/>
      <c r="S819" s="7"/>
      <c r="Y819" s="13"/>
      <c r="AA819" s="6"/>
      <c r="AB819" s="13"/>
    </row>
    <row r="820" spans="1:31" x14ac:dyDescent="0.25">
      <c r="A820" s="6" t="s">
        <v>576</v>
      </c>
      <c r="B820" s="9">
        <v>8</v>
      </c>
      <c r="C820" s="9">
        <v>120</v>
      </c>
      <c r="D820" s="9">
        <v>11</v>
      </c>
      <c r="E820" s="9">
        <v>1</v>
      </c>
      <c r="F820" s="7">
        <f t="shared" si="101"/>
        <v>12</v>
      </c>
      <c r="G820" s="9">
        <v>2</v>
      </c>
      <c r="H820" s="9">
        <v>95</v>
      </c>
      <c r="I820" s="7">
        <f t="shared" si="102"/>
        <v>47.5</v>
      </c>
      <c r="J820" s="9"/>
      <c r="K820" s="9"/>
      <c r="L820" s="9"/>
      <c r="M820" s="9"/>
      <c r="N820" s="9"/>
      <c r="O820" s="9"/>
      <c r="P820" s="7"/>
      <c r="Q820" s="9"/>
      <c r="R820" s="9"/>
      <c r="S820" s="7"/>
      <c r="Y820" s="13"/>
      <c r="AA820" s="6"/>
      <c r="AB820" s="13"/>
    </row>
    <row r="821" spans="1:31" x14ac:dyDescent="0.25">
      <c r="A821" s="6" t="s">
        <v>577</v>
      </c>
      <c r="B821" s="9">
        <v>2</v>
      </c>
      <c r="C821" s="9">
        <v>21</v>
      </c>
      <c r="D821" s="9">
        <v>4</v>
      </c>
      <c r="E821" s="9"/>
      <c r="F821" s="7">
        <f t="shared" si="101"/>
        <v>5.25</v>
      </c>
      <c r="G821" s="9"/>
      <c r="H821" s="9"/>
      <c r="I821" s="7"/>
      <c r="J821" s="9"/>
      <c r="K821" s="9"/>
      <c r="L821" s="9"/>
      <c r="M821" s="9"/>
      <c r="N821" s="9"/>
      <c r="O821" s="9"/>
      <c r="P821" s="7"/>
      <c r="Q821" s="9"/>
      <c r="R821" s="9"/>
      <c r="S821" s="7"/>
      <c r="Y821" s="13"/>
      <c r="AA821" s="6"/>
      <c r="AB821" s="13"/>
    </row>
    <row r="822" spans="1:31" x14ac:dyDescent="0.25">
      <c r="A822" s="6" t="s">
        <v>578</v>
      </c>
      <c r="B822" s="9">
        <v>19</v>
      </c>
      <c r="C822" s="9">
        <v>44</v>
      </c>
      <c r="D822" s="9">
        <v>13</v>
      </c>
      <c r="E822" s="9">
        <v>2</v>
      </c>
      <c r="F822" s="7">
        <f t="shared" si="101"/>
        <v>4</v>
      </c>
      <c r="G822" s="9">
        <v>4</v>
      </c>
      <c r="H822" s="9">
        <v>94</v>
      </c>
      <c r="I822" s="7">
        <f t="shared" si="102"/>
        <v>23.5</v>
      </c>
      <c r="J822" s="9"/>
      <c r="K822" s="9"/>
      <c r="L822" s="9"/>
      <c r="M822" s="9"/>
      <c r="N822" s="9"/>
      <c r="O822" s="9"/>
      <c r="P822" s="7"/>
      <c r="Q822" s="9"/>
      <c r="R822" s="9"/>
      <c r="S822" s="7"/>
      <c r="Y822" s="13"/>
      <c r="AA822" s="6"/>
      <c r="AB822" s="13"/>
    </row>
    <row r="823" spans="1:31" x14ac:dyDescent="0.25">
      <c r="A823" s="6" t="s">
        <v>579</v>
      </c>
      <c r="B823" s="9">
        <v>22</v>
      </c>
      <c r="C823" s="9">
        <v>282</v>
      </c>
      <c r="D823" s="9">
        <v>15</v>
      </c>
      <c r="E823" s="9">
        <v>2</v>
      </c>
      <c r="F823" s="7">
        <f t="shared" si="101"/>
        <v>21.692307692307693</v>
      </c>
      <c r="G823" s="9">
        <v>7</v>
      </c>
      <c r="H823" s="9">
        <v>173</v>
      </c>
      <c r="I823" s="7">
        <f t="shared" si="102"/>
        <v>24.714285714285715</v>
      </c>
      <c r="J823" s="9"/>
      <c r="K823" s="9"/>
      <c r="L823" s="9"/>
      <c r="M823" s="9"/>
      <c r="N823" s="9"/>
      <c r="O823" s="9"/>
      <c r="P823" s="7"/>
      <c r="Q823" s="9"/>
      <c r="R823" s="9"/>
      <c r="S823" s="7"/>
      <c r="Y823" s="13"/>
      <c r="AA823" s="6"/>
      <c r="AB823" s="13"/>
    </row>
    <row r="824" spans="1:31" x14ac:dyDescent="0.25">
      <c r="A824" s="6" t="s">
        <v>580</v>
      </c>
      <c r="B824" s="6">
        <v>1</v>
      </c>
      <c r="C824" s="9"/>
      <c r="D824" s="9"/>
      <c r="E824" s="9"/>
      <c r="F824" s="7"/>
      <c r="G824" s="9"/>
      <c r="H824" s="9"/>
      <c r="I824" s="7"/>
      <c r="J824" s="9"/>
      <c r="K824" s="9"/>
      <c r="L824" s="9"/>
      <c r="M824" s="9"/>
      <c r="N824" s="9"/>
      <c r="O824" s="9"/>
      <c r="P824" s="7"/>
      <c r="Q824" s="9"/>
      <c r="R824" s="9"/>
      <c r="S824" s="7"/>
      <c r="Y824" s="13"/>
      <c r="AA824" s="6"/>
      <c r="AB824" s="13"/>
    </row>
    <row r="825" spans="1:31" x14ac:dyDescent="0.25">
      <c r="A825" s="6" t="s">
        <v>915</v>
      </c>
      <c r="B825" s="6">
        <v>26.5</v>
      </c>
      <c r="C825" s="6">
        <v>319</v>
      </c>
      <c r="D825" s="6">
        <v>28</v>
      </c>
      <c r="E825" s="6">
        <v>5</v>
      </c>
      <c r="F825" s="7">
        <f t="shared" si="101"/>
        <v>13.869565217391305</v>
      </c>
      <c r="G825" s="6">
        <v>13</v>
      </c>
      <c r="H825" s="6">
        <v>335</v>
      </c>
      <c r="I825" s="7">
        <f t="shared" si="102"/>
        <v>25.76923076923077</v>
      </c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>
        <v>9</v>
      </c>
      <c r="V825" s="6">
        <v>141</v>
      </c>
      <c r="W825" s="6">
        <v>8</v>
      </c>
      <c r="X825" s="6">
        <v>1</v>
      </c>
      <c r="Y825" s="13">
        <f t="shared" si="99"/>
        <v>20.142857142857142</v>
      </c>
      <c r="Z825" s="6">
        <v>1</v>
      </c>
      <c r="AA825" s="6">
        <v>74</v>
      </c>
      <c r="AB825" s="13">
        <f t="shared" ref="AB825:AB858" si="107">AA825/Z825</f>
        <v>74</v>
      </c>
      <c r="AC825" s="6"/>
      <c r="AD825" s="6"/>
      <c r="AE825" s="6" t="s">
        <v>984</v>
      </c>
    </row>
    <row r="826" spans="1:31" x14ac:dyDescent="0.25">
      <c r="A826" s="6" t="s">
        <v>581</v>
      </c>
      <c r="B826" s="9">
        <v>11</v>
      </c>
      <c r="C826" s="9">
        <v>28</v>
      </c>
      <c r="D826" s="9">
        <v>15</v>
      </c>
      <c r="E826" s="9">
        <v>1</v>
      </c>
      <c r="F826" s="7">
        <f t="shared" si="101"/>
        <v>2</v>
      </c>
      <c r="G826" s="9"/>
      <c r="H826" s="9"/>
      <c r="I826" s="7"/>
      <c r="J826" s="9"/>
      <c r="K826" s="9"/>
      <c r="L826" s="9"/>
      <c r="M826" s="9"/>
      <c r="N826" s="9"/>
      <c r="O826" s="9"/>
      <c r="P826" s="7"/>
      <c r="Q826" s="9"/>
      <c r="R826" s="9"/>
      <c r="S826" s="7"/>
      <c r="Y826" s="13"/>
      <c r="AA826" s="6"/>
      <c r="AB826" s="13"/>
    </row>
    <row r="827" spans="1:31" x14ac:dyDescent="0.25">
      <c r="A827" s="6" t="s">
        <v>582</v>
      </c>
      <c r="B827" s="9">
        <v>32</v>
      </c>
      <c r="C827" s="9">
        <v>5</v>
      </c>
      <c r="D827" s="9">
        <v>31</v>
      </c>
      <c r="E827" s="9">
        <v>3</v>
      </c>
      <c r="F827" s="7">
        <f t="shared" si="101"/>
        <v>0.17857142857142858</v>
      </c>
      <c r="G827" s="9">
        <v>22</v>
      </c>
      <c r="H827" s="9">
        <v>909</v>
      </c>
      <c r="I827" s="7">
        <f t="shared" si="102"/>
        <v>41.31818181818182</v>
      </c>
      <c r="J827" s="9"/>
      <c r="K827" s="9"/>
      <c r="L827" s="9"/>
      <c r="M827" s="9"/>
      <c r="N827" s="9"/>
      <c r="O827" s="9"/>
      <c r="P827" s="7"/>
      <c r="Q827" s="9"/>
      <c r="R827" s="9"/>
      <c r="S827" s="7"/>
      <c r="Y827" s="13"/>
      <c r="AA827" s="6"/>
      <c r="AB827" s="13"/>
    </row>
    <row r="828" spans="1:31" x14ac:dyDescent="0.25">
      <c r="A828" s="6" t="s">
        <v>583</v>
      </c>
      <c r="B828" s="9">
        <v>10</v>
      </c>
      <c r="C828" s="9">
        <v>62</v>
      </c>
      <c r="D828" s="9">
        <v>9</v>
      </c>
      <c r="E828" s="9">
        <v>2</v>
      </c>
      <c r="F828" s="7">
        <f t="shared" si="101"/>
        <v>8.8571428571428577</v>
      </c>
      <c r="G828" s="9"/>
      <c r="H828" s="9">
        <v>28</v>
      </c>
      <c r="I828" s="7"/>
      <c r="J828" s="9"/>
      <c r="K828" s="9"/>
      <c r="L828" s="9"/>
      <c r="M828" s="9"/>
      <c r="N828" s="9"/>
      <c r="O828" s="9"/>
      <c r="P828" s="7"/>
      <c r="Q828" s="9"/>
      <c r="R828" s="9"/>
      <c r="S828" s="7"/>
      <c r="Y828" s="13"/>
      <c r="AA828" s="6"/>
      <c r="AB828" s="13"/>
    </row>
    <row r="829" spans="1:31" x14ac:dyDescent="0.25">
      <c r="A829" s="6" t="s">
        <v>927</v>
      </c>
      <c r="B829" s="6">
        <v>10</v>
      </c>
      <c r="C829" s="6">
        <v>13</v>
      </c>
      <c r="D829" s="6">
        <v>10</v>
      </c>
      <c r="E829" s="6">
        <v>4</v>
      </c>
      <c r="F829" s="7">
        <f t="shared" si="101"/>
        <v>2.1666666666666665</v>
      </c>
      <c r="G829" s="6">
        <v>0</v>
      </c>
      <c r="H829" s="6">
        <v>73</v>
      </c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13"/>
      <c r="Z829" s="6"/>
      <c r="AA829" s="6"/>
      <c r="AB829" s="13"/>
      <c r="AC829" s="6"/>
      <c r="AD829" s="6"/>
      <c r="AE829" s="6"/>
    </row>
    <row r="830" spans="1:31" x14ac:dyDescent="0.25">
      <c r="A830" s="6" t="s">
        <v>584</v>
      </c>
      <c r="B830" s="9">
        <v>9</v>
      </c>
      <c r="C830" s="9">
        <v>335</v>
      </c>
      <c r="D830" s="9">
        <v>9</v>
      </c>
      <c r="E830" s="9">
        <v>2</v>
      </c>
      <c r="F830" s="7">
        <f t="shared" si="101"/>
        <v>47.857142857142854</v>
      </c>
      <c r="G830" s="9"/>
      <c r="H830" s="9"/>
      <c r="I830" s="7"/>
      <c r="J830" s="9"/>
      <c r="K830" s="9"/>
      <c r="L830" s="9"/>
      <c r="M830" s="9"/>
      <c r="N830" s="9"/>
      <c r="O830" s="9"/>
      <c r="P830" s="7"/>
      <c r="Q830" s="9"/>
      <c r="R830" s="9"/>
      <c r="S830" s="7"/>
      <c r="Y830" s="13"/>
      <c r="AA830" s="6"/>
      <c r="AB830" s="13"/>
    </row>
    <row r="831" spans="1:31" x14ac:dyDescent="0.25">
      <c r="A831" s="6" t="s">
        <v>585</v>
      </c>
      <c r="B831" s="9">
        <v>69</v>
      </c>
      <c r="C831" s="9">
        <v>823</v>
      </c>
      <c r="D831" s="9">
        <v>72</v>
      </c>
      <c r="E831" s="9">
        <v>22</v>
      </c>
      <c r="F831" s="7">
        <f t="shared" si="101"/>
        <v>16.46</v>
      </c>
      <c r="G831" s="9">
        <v>13</v>
      </c>
      <c r="H831" s="9">
        <v>224</v>
      </c>
      <c r="I831" s="7">
        <f t="shared" si="102"/>
        <v>17.23076923076923</v>
      </c>
      <c r="J831" s="9"/>
      <c r="K831" s="9"/>
      <c r="L831" s="9"/>
      <c r="M831" s="9"/>
      <c r="N831" s="9"/>
      <c r="O831" s="9"/>
      <c r="P831" s="7"/>
      <c r="Q831" s="9"/>
      <c r="R831" s="9"/>
      <c r="S831" s="7"/>
      <c r="Y831" s="13"/>
      <c r="AA831" s="6"/>
      <c r="AB831" s="13"/>
    </row>
    <row r="832" spans="1:31" x14ac:dyDescent="0.25">
      <c r="A832" s="6" t="s">
        <v>586</v>
      </c>
      <c r="B832" s="9">
        <v>57</v>
      </c>
      <c r="C832" s="9">
        <v>1063</v>
      </c>
      <c r="D832" s="9">
        <v>57</v>
      </c>
      <c r="E832" s="9">
        <v>3</v>
      </c>
      <c r="F832" s="7">
        <f t="shared" si="101"/>
        <v>19.685185185185187</v>
      </c>
      <c r="G832" s="9">
        <v>3</v>
      </c>
      <c r="H832" s="9">
        <v>141</v>
      </c>
      <c r="I832" s="7">
        <f t="shared" si="102"/>
        <v>47</v>
      </c>
      <c r="J832" s="9"/>
      <c r="K832" s="9"/>
      <c r="L832" s="9"/>
      <c r="M832" s="9"/>
      <c r="N832" s="9"/>
      <c r="O832" s="9"/>
      <c r="P832" s="7"/>
      <c r="Q832" s="9"/>
      <c r="R832" s="9"/>
      <c r="S832" s="7"/>
      <c r="Y832" s="13"/>
      <c r="AA832" s="6"/>
      <c r="AB832" s="13"/>
    </row>
    <row r="833" spans="1:31" x14ac:dyDescent="0.25">
      <c r="A833" s="6" t="s">
        <v>587</v>
      </c>
      <c r="B833" s="9">
        <v>3</v>
      </c>
      <c r="C833" s="9">
        <v>59</v>
      </c>
      <c r="D833" s="9">
        <v>4</v>
      </c>
      <c r="E833" s="9"/>
      <c r="F833" s="7">
        <f t="shared" si="101"/>
        <v>14.75</v>
      </c>
      <c r="G833" s="9"/>
      <c r="H833" s="9"/>
      <c r="I833" s="7"/>
      <c r="J833" s="9"/>
      <c r="K833" s="9"/>
      <c r="L833" s="9"/>
      <c r="M833" s="9"/>
      <c r="N833" s="9"/>
      <c r="O833" s="9"/>
      <c r="P833" s="7"/>
      <c r="Q833" s="9"/>
      <c r="R833" s="9"/>
      <c r="S833" s="7"/>
      <c r="Y833" s="13"/>
      <c r="AA833" s="6"/>
      <c r="AB833" s="13"/>
    </row>
    <row r="834" spans="1:31" x14ac:dyDescent="0.25">
      <c r="A834" s="6" t="s">
        <v>901</v>
      </c>
      <c r="B834" s="9">
        <v>2</v>
      </c>
      <c r="C834" s="9">
        <v>5</v>
      </c>
      <c r="D834" s="9">
        <v>2</v>
      </c>
      <c r="E834" s="9"/>
      <c r="F834" s="7">
        <f t="shared" si="101"/>
        <v>2.5</v>
      </c>
      <c r="G834" s="9"/>
      <c r="H834" s="9"/>
      <c r="I834" s="7"/>
      <c r="J834" s="9"/>
      <c r="K834" s="9"/>
      <c r="L834" s="9"/>
      <c r="M834" s="9"/>
      <c r="N834" s="9"/>
      <c r="O834" s="9"/>
      <c r="P834" s="7"/>
      <c r="Q834" s="9"/>
      <c r="R834" s="9"/>
      <c r="S834" s="7"/>
      <c r="Y834" s="13"/>
      <c r="AA834" s="6"/>
      <c r="AB834" s="13"/>
    </row>
    <row r="835" spans="1:31" x14ac:dyDescent="0.25">
      <c r="A835" s="6" t="s">
        <v>1079</v>
      </c>
      <c r="B835" s="6">
        <v>71</v>
      </c>
      <c r="C835" s="6">
        <v>14437</v>
      </c>
      <c r="D835" s="6">
        <v>44</v>
      </c>
      <c r="E835" s="6">
        <v>18</v>
      </c>
      <c r="F835" s="6">
        <f t="shared" si="101"/>
        <v>555.26923076923072</v>
      </c>
      <c r="G835" s="6">
        <v>45</v>
      </c>
      <c r="H835" s="6">
        <v>1034</v>
      </c>
      <c r="I835" s="7">
        <f t="shared" si="102"/>
        <v>22.977777777777778</v>
      </c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>
        <v>6</v>
      </c>
      <c r="V835" s="6">
        <v>5</v>
      </c>
      <c r="W835" s="6">
        <v>1</v>
      </c>
      <c r="X835" s="6">
        <v>1</v>
      </c>
      <c r="Y835" s="6"/>
      <c r="Z835" s="6">
        <v>5</v>
      </c>
      <c r="AA835" s="6">
        <v>95</v>
      </c>
      <c r="AB835" s="18">
        <f t="shared" si="107"/>
        <v>19</v>
      </c>
      <c r="AE835" s="13" t="s">
        <v>1183</v>
      </c>
    </row>
    <row r="836" spans="1:31" x14ac:dyDescent="0.25">
      <c r="A836" s="6" t="s">
        <v>588</v>
      </c>
      <c r="B836" s="9">
        <v>12</v>
      </c>
      <c r="C836" s="9">
        <v>239</v>
      </c>
      <c r="D836" s="9">
        <v>12</v>
      </c>
      <c r="E836" s="9">
        <v>3</v>
      </c>
      <c r="F836" s="7">
        <f t="shared" si="101"/>
        <v>26.555555555555557</v>
      </c>
      <c r="G836" s="9">
        <v>26</v>
      </c>
      <c r="H836" s="9">
        <v>497</v>
      </c>
      <c r="I836" s="7">
        <f t="shared" si="102"/>
        <v>19.115384615384617</v>
      </c>
      <c r="J836" s="9"/>
      <c r="K836" s="9"/>
      <c r="L836" s="9"/>
      <c r="M836" s="9"/>
      <c r="N836" s="9"/>
      <c r="O836" s="9"/>
      <c r="P836" s="7"/>
      <c r="Q836" s="9"/>
      <c r="R836" s="9"/>
      <c r="S836" s="7"/>
      <c r="Y836" s="13"/>
      <c r="AA836" s="6"/>
      <c r="AB836" s="13"/>
    </row>
    <row r="837" spans="1:31" x14ac:dyDescent="0.25">
      <c r="A837" s="6" t="s">
        <v>1054</v>
      </c>
      <c r="B837" s="9">
        <v>5</v>
      </c>
      <c r="C837" s="9">
        <v>37</v>
      </c>
      <c r="D837" s="9">
        <v>5</v>
      </c>
      <c r="E837" s="9">
        <v>1</v>
      </c>
      <c r="F837" s="7">
        <f t="shared" si="101"/>
        <v>9.25</v>
      </c>
      <c r="G837" s="9">
        <v>1</v>
      </c>
      <c r="H837" s="9">
        <v>84</v>
      </c>
      <c r="I837" s="7">
        <f t="shared" si="102"/>
        <v>84</v>
      </c>
      <c r="J837" s="9"/>
      <c r="K837" s="9"/>
      <c r="L837" s="9"/>
      <c r="M837" s="9"/>
      <c r="N837" s="9"/>
      <c r="O837" s="9"/>
      <c r="P837" s="7"/>
      <c r="Q837" s="9"/>
      <c r="R837" s="9"/>
      <c r="S837" s="7"/>
      <c r="Y837" s="13"/>
      <c r="AA837" s="6"/>
      <c r="AB837" s="13"/>
      <c r="AE837" s="6" t="s">
        <v>1032</v>
      </c>
    </row>
    <row r="838" spans="1:31" x14ac:dyDescent="0.25">
      <c r="A838" s="6" t="s">
        <v>589</v>
      </c>
      <c r="B838" s="9">
        <v>8</v>
      </c>
      <c r="C838" s="9">
        <v>149</v>
      </c>
      <c r="D838" s="9">
        <v>7</v>
      </c>
      <c r="E838" s="9"/>
      <c r="F838" s="7">
        <f t="shared" si="101"/>
        <v>21.285714285714285</v>
      </c>
      <c r="G838" s="9">
        <v>1</v>
      </c>
      <c r="H838" s="9">
        <v>2</v>
      </c>
      <c r="I838" s="7">
        <f t="shared" si="102"/>
        <v>2</v>
      </c>
      <c r="J838" s="9"/>
      <c r="K838" s="9"/>
      <c r="L838" s="9"/>
      <c r="M838" s="9"/>
      <c r="N838" s="9"/>
      <c r="O838" s="9"/>
      <c r="P838" s="7"/>
      <c r="Q838" s="9"/>
      <c r="R838" s="9"/>
      <c r="S838" s="7"/>
      <c r="Y838" s="13"/>
      <c r="AA838" s="6"/>
      <c r="AB838" s="13"/>
    </row>
    <row r="839" spans="1:31" x14ac:dyDescent="0.25">
      <c r="A839" s="6" t="s">
        <v>1184</v>
      </c>
      <c r="B839" s="9">
        <v>2.5</v>
      </c>
      <c r="C839" s="9"/>
      <c r="D839" s="9">
        <v>1</v>
      </c>
      <c r="E839" s="9"/>
      <c r="F839" s="7"/>
      <c r="G839" s="9">
        <v>11</v>
      </c>
      <c r="H839" s="9">
        <v>158</v>
      </c>
      <c r="I839" s="7">
        <f t="shared" si="102"/>
        <v>14.363636363636363</v>
      </c>
      <c r="J839" s="9"/>
      <c r="K839" s="9"/>
      <c r="L839" s="9"/>
      <c r="M839" s="9"/>
      <c r="N839" s="9"/>
      <c r="O839" s="9"/>
      <c r="P839" s="7"/>
      <c r="Q839" s="9"/>
      <c r="R839" s="9"/>
      <c r="S839" s="7"/>
      <c r="Y839" s="13"/>
      <c r="AA839" s="6"/>
      <c r="AB839" s="13"/>
      <c r="AE839" s="1" t="s">
        <v>1186</v>
      </c>
    </row>
    <row r="840" spans="1:31" x14ac:dyDescent="0.25">
      <c r="A840" s="6" t="s">
        <v>1185</v>
      </c>
      <c r="B840" s="9">
        <v>1</v>
      </c>
      <c r="C840" s="9">
        <v>2</v>
      </c>
      <c r="D840" s="9">
        <v>1</v>
      </c>
      <c r="E840" s="9"/>
      <c r="F840" s="7">
        <f t="shared" si="101"/>
        <v>2</v>
      </c>
      <c r="G840" s="9"/>
      <c r="H840" s="9"/>
      <c r="I840" s="7"/>
      <c r="J840" s="9"/>
      <c r="K840" s="9"/>
      <c r="L840" s="9"/>
      <c r="M840" s="9"/>
      <c r="N840" s="9"/>
      <c r="O840" s="9"/>
      <c r="P840" s="7"/>
      <c r="Q840" s="9"/>
      <c r="R840" s="9"/>
      <c r="S840" s="7"/>
      <c r="Y840" s="13"/>
      <c r="AA840" s="6"/>
      <c r="AB840" s="13"/>
      <c r="AE840" t="s">
        <v>1028</v>
      </c>
    </row>
    <row r="841" spans="1:31" x14ac:dyDescent="0.25">
      <c r="A841" s="6" t="s">
        <v>590</v>
      </c>
      <c r="B841" s="9">
        <v>9</v>
      </c>
      <c r="C841" s="9">
        <v>200</v>
      </c>
      <c r="D841" s="9">
        <v>10</v>
      </c>
      <c r="E841" s="9">
        <v>3</v>
      </c>
      <c r="F841" s="7">
        <f t="shared" si="101"/>
        <v>28.571428571428573</v>
      </c>
      <c r="G841" s="9">
        <v>3</v>
      </c>
      <c r="H841" s="9">
        <v>157</v>
      </c>
      <c r="I841" s="7">
        <f t="shared" si="102"/>
        <v>52.333333333333336</v>
      </c>
      <c r="J841" s="9"/>
      <c r="K841" s="9"/>
      <c r="L841" s="9"/>
      <c r="M841" s="9"/>
      <c r="N841" s="9"/>
      <c r="O841" s="9"/>
      <c r="P841" s="7"/>
      <c r="Q841" s="9"/>
      <c r="R841" s="9"/>
      <c r="S841" s="7"/>
      <c r="Y841" s="13"/>
      <c r="AA841" s="6"/>
      <c r="AB841" s="13"/>
    </row>
    <row r="842" spans="1:31" x14ac:dyDescent="0.25">
      <c r="A842" s="6" t="s">
        <v>839</v>
      </c>
      <c r="B842" s="9">
        <v>3</v>
      </c>
      <c r="C842" s="9">
        <v>140</v>
      </c>
      <c r="D842" s="9">
        <v>4</v>
      </c>
      <c r="E842" s="9">
        <v>1</v>
      </c>
      <c r="F842" s="7">
        <f t="shared" si="101"/>
        <v>46.666666666666664</v>
      </c>
      <c r="G842" s="9">
        <v>1</v>
      </c>
      <c r="H842" s="9">
        <v>36</v>
      </c>
      <c r="I842" s="7">
        <f t="shared" si="102"/>
        <v>36</v>
      </c>
      <c r="J842" s="9"/>
      <c r="K842" s="9"/>
      <c r="L842" s="9">
        <v>4</v>
      </c>
      <c r="M842" s="9">
        <v>140</v>
      </c>
      <c r="N842" s="9">
        <v>4</v>
      </c>
      <c r="O842" s="9">
        <v>1</v>
      </c>
      <c r="P842" s="7">
        <f t="shared" ref="P842" si="108">(M842/(N842-O842))</f>
        <v>46.666666666666664</v>
      </c>
      <c r="Q842" s="9">
        <v>1</v>
      </c>
      <c r="R842" s="9">
        <v>36</v>
      </c>
      <c r="S842" s="7">
        <f t="shared" ref="S842" si="109">(R842/Q842)</f>
        <v>36</v>
      </c>
      <c r="T842" s="8"/>
      <c r="Y842" s="13"/>
      <c r="AB842" s="13"/>
      <c r="AD842" s="6"/>
      <c r="AE842" s="8" t="s">
        <v>124</v>
      </c>
    </row>
    <row r="843" spans="1:31" x14ac:dyDescent="0.25">
      <c r="A843" s="6" t="s">
        <v>770</v>
      </c>
      <c r="B843" s="9">
        <v>1</v>
      </c>
      <c r="C843" s="9"/>
      <c r="D843" s="9">
        <v>1</v>
      </c>
      <c r="E843" s="9"/>
      <c r="F843" s="7"/>
      <c r="G843" s="9"/>
      <c r="H843" s="9"/>
      <c r="I843" s="7"/>
      <c r="J843" s="9"/>
      <c r="K843" s="9"/>
      <c r="L843" s="9">
        <v>1</v>
      </c>
      <c r="M843" s="9"/>
      <c r="N843" s="9">
        <v>1</v>
      </c>
      <c r="O843" s="9"/>
      <c r="P843" s="10" t="s">
        <v>804</v>
      </c>
      <c r="Q843" s="9"/>
      <c r="R843" s="9"/>
      <c r="S843" s="7"/>
      <c r="T843" s="8"/>
      <c r="U843" s="8"/>
      <c r="Y843" s="13"/>
      <c r="AB843" s="13"/>
      <c r="AD843" s="6"/>
      <c r="AE843" s="8" t="s">
        <v>23</v>
      </c>
    </row>
    <row r="844" spans="1:31" x14ac:dyDescent="0.25">
      <c r="A844" s="6" t="s">
        <v>591</v>
      </c>
      <c r="B844" s="9">
        <v>1</v>
      </c>
      <c r="C844" s="9"/>
      <c r="D844" s="9">
        <v>1</v>
      </c>
      <c r="E844" s="9"/>
      <c r="F844" s="7"/>
      <c r="G844" s="9"/>
      <c r="H844" s="9"/>
      <c r="I844" s="7"/>
      <c r="J844" s="9"/>
      <c r="K844" s="9"/>
      <c r="L844" s="9"/>
      <c r="M844" s="9"/>
      <c r="N844" s="9"/>
      <c r="O844" s="9"/>
      <c r="P844" s="7"/>
      <c r="Q844" s="9"/>
      <c r="R844" s="9"/>
      <c r="S844" s="7"/>
      <c r="Y844" s="13"/>
      <c r="AA844" s="6"/>
      <c r="AB844" s="13"/>
    </row>
    <row r="845" spans="1:31" x14ac:dyDescent="0.25">
      <c r="A845" s="6" t="s">
        <v>592</v>
      </c>
      <c r="B845" s="9">
        <v>1</v>
      </c>
      <c r="C845" s="9"/>
      <c r="D845" s="9">
        <v>1</v>
      </c>
      <c r="E845" s="9"/>
      <c r="F845" s="7"/>
      <c r="G845" s="9">
        <v>1</v>
      </c>
      <c r="H845" s="9">
        <v>23</v>
      </c>
      <c r="I845" s="7">
        <f t="shared" si="102"/>
        <v>23</v>
      </c>
      <c r="J845" s="9"/>
      <c r="K845" s="9"/>
      <c r="L845" s="9"/>
      <c r="M845" s="9"/>
      <c r="N845" s="9"/>
      <c r="O845" s="9"/>
      <c r="P845" s="7"/>
      <c r="Q845" s="9"/>
      <c r="R845" s="9"/>
      <c r="S845" s="7"/>
      <c r="Y845" s="13"/>
      <c r="AA845" s="6"/>
      <c r="AB845" s="13"/>
    </row>
    <row r="846" spans="1:31" x14ac:dyDescent="0.25">
      <c r="A846" s="6" t="s">
        <v>593</v>
      </c>
      <c r="B846" s="9">
        <v>148</v>
      </c>
      <c r="C846" s="9">
        <v>1048</v>
      </c>
      <c r="D846" s="9">
        <v>137</v>
      </c>
      <c r="E846" s="9">
        <v>37</v>
      </c>
      <c r="F846" s="7">
        <f t="shared" si="101"/>
        <v>10.48</v>
      </c>
      <c r="G846" s="9">
        <v>273</v>
      </c>
      <c r="H846" s="9">
        <v>6021</v>
      </c>
      <c r="I846" s="7">
        <f t="shared" si="102"/>
        <v>22.054945054945055</v>
      </c>
      <c r="J846" s="9"/>
      <c r="K846" s="9"/>
      <c r="L846" s="9">
        <v>5</v>
      </c>
      <c r="M846" s="9">
        <v>25</v>
      </c>
      <c r="N846" s="9">
        <v>2</v>
      </c>
      <c r="O846" s="9"/>
      <c r="P846" s="7">
        <f t="shared" ref="P846:P887" si="110">(M846/(N846-O846))</f>
        <v>12.5</v>
      </c>
      <c r="Q846" s="9">
        <v>3</v>
      </c>
      <c r="R846" s="6">
        <v>160</v>
      </c>
      <c r="S846" s="7">
        <f t="shared" ref="S846:S887" si="111">(R846/Q846)</f>
        <v>53.333333333333336</v>
      </c>
      <c r="T846" s="8"/>
      <c r="U846" s="8"/>
      <c r="Y846" s="13"/>
      <c r="AB846" s="13"/>
      <c r="AD846" s="6"/>
      <c r="AE846" s="8" t="s">
        <v>771</v>
      </c>
    </row>
    <row r="847" spans="1:31" x14ac:dyDescent="0.25">
      <c r="A847" s="6" t="s">
        <v>594</v>
      </c>
      <c r="B847" s="9">
        <v>39</v>
      </c>
      <c r="C847" s="9">
        <v>660</v>
      </c>
      <c r="D847" s="9">
        <v>43</v>
      </c>
      <c r="E847" s="9">
        <v>9</v>
      </c>
      <c r="F847" s="7">
        <f t="shared" si="101"/>
        <v>19.411764705882351</v>
      </c>
      <c r="G847" s="9">
        <v>8</v>
      </c>
      <c r="H847" s="9">
        <v>227</v>
      </c>
      <c r="I847" s="7">
        <f t="shared" si="102"/>
        <v>28.375</v>
      </c>
      <c r="J847" s="9"/>
      <c r="K847" s="9"/>
      <c r="L847" s="9"/>
      <c r="M847" s="9"/>
      <c r="N847" s="9"/>
      <c r="O847" s="9"/>
      <c r="P847" s="7"/>
      <c r="Q847" s="9"/>
      <c r="R847" s="9"/>
      <c r="S847" s="7"/>
      <c r="Y847" s="13"/>
      <c r="AA847" s="6"/>
      <c r="AB847" s="13"/>
    </row>
    <row r="848" spans="1:31" x14ac:dyDescent="0.25">
      <c r="A848" s="6" t="s">
        <v>840</v>
      </c>
      <c r="B848" s="9">
        <v>2.5</v>
      </c>
      <c r="C848" s="9">
        <v>54</v>
      </c>
      <c r="D848" s="9">
        <v>3</v>
      </c>
      <c r="E848" s="9"/>
      <c r="F848" s="7">
        <f t="shared" si="101"/>
        <v>18</v>
      </c>
      <c r="G848" s="9"/>
      <c r="H848" s="9">
        <v>21</v>
      </c>
      <c r="I848" s="10" t="s">
        <v>804</v>
      </c>
      <c r="J848" s="9"/>
      <c r="K848" s="9"/>
      <c r="L848" s="9">
        <v>3</v>
      </c>
      <c r="M848" s="9">
        <v>54</v>
      </c>
      <c r="N848" s="9">
        <v>3</v>
      </c>
      <c r="O848" s="9"/>
      <c r="P848" s="7">
        <f t="shared" si="110"/>
        <v>18</v>
      </c>
      <c r="Q848" s="9"/>
      <c r="R848" s="9">
        <v>21</v>
      </c>
      <c r="S848" s="10" t="s">
        <v>804</v>
      </c>
      <c r="T848" s="8"/>
      <c r="Y848" s="13"/>
      <c r="AB848" s="13"/>
      <c r="AD848" s="6"/>
      <c r="AE848" s="8" t="s">
        <v>180</v>
      </c>
    </row>
    <row r="849" spans="1:31" x14ac:dyDescent="0.25">
      <c r="A849" s="6" t="s">
        <v>800</v>
      </c>
      <c r="B849" s="9">
        <v>8</v>
      </c>
      <c r="C849" s="9">
        <v>9</v>
      </c>
      <c r="D849" s="9">
        <v>3</v>
      </c>
      <c r="E849" s="9">
        <v>2</v>
      </c>
      <c r="F849" s="7">
        <f t="shared" si="101"/>
        <v>9</v>
      </c>
      <c r="G849" s="9">
        <v>1</v>
      </c>
      <c r="H849" s="9">
        <v>74</v>
      </c>
      <c r="I849" s="7">
        <f t="shared" si="102"/>
        <v>74</v>
      </c>
      <c r="J849" s="9"/>
      <c r="K849" s="9"/>
      <c r="L849" s="9">
        <v>1</v>
      </c>
      <c r="M849" s="9">
        <v>7</v>
      </c>
      <c r="N849" s="9">
        <v>1</v>
      </c>
      <c r="O849" s="9">
        <v>1</v>
      </c>
      <c r="P849" s="10" t="s">
        <v>804</v>
      </c>
      <c r="Q849" s="9"/>
      <c r="R849" s="9">
        <v>34</v>
      </c>
      <c r="S849" s="10" t="s">
        <v>804</v>
      </c>
      <c r="T849" s="9"/>
      <c r="Y849" s="13"/>
      <c r="AB849" s="13"/>
      <c r="AD849" s="6"/>
      <c r="AE849" s="8" t="s">
        <v>866</v>
      </c>
    </row>
    <row r="850" spans="1:31" x14ac:dyDescent="0.25">
      <c r="A850" s="6" t="s">
        <v>1006</v>
      </c>
      <c r="B850" s="9">
        <v>9</v>
      </c>
      <c r="C850" s="6">
        <v>90</v>
      </c>
      <c r="D850" s="6">
        <v>9</v>
      </c>
      <c r="E850" s="6">
        <v>2</v>
      </c>
      <c r="F850" s="7">
        <f t="shared" si="101"/>
        <v>12.857142857142858</v>
      </c>
      <c r="G850" s="6">
        <v>5</v>
      </c>
      <c r="H850" s="6">
        <v>104</v>
      </c>
      <c r="I850" s="7">
        <f t="shared" si="102"/>
        <v>20.8</v>
      </c>
      <c r="J850" s="9"/>
      <c r="K850" s="9"/>
      <c r="L850" s="9"/>
      <c r="M850" s="9"/>
      <c r="N850" s="9"/>
      <c r="O850" s="9"/>
      <c r="P850" s="10"/>
      <c r="Q850" s="9"/>
      <c r="R850" s="9"/>
      <c r="S850" s="10"/>
      <c r="T850" s="9"/>
      <c r="Y850" s="13"/>
      <c r="AB850" s="13"/>
      <c r="AD850" s="6"/>
      <c r="AE850" s="8" t="s">
        <v>932</v>
      </c>
    </row>
    <row r="851" spans="1:31" x14ac:dyDescent="0.25">
      <c r="A851" s="6" t="s">
        <v>902</v>
      </c>
      <c r="B851" s="9">
        <v>8</v>
      </c>
      <c r="C851" s="9">
        <v>25</v>
      </c>
      <c r="D851" s="9">
        <v>6</v>
      </c>
      <c r="E851" s="9">
        <v>1</v>
      </c>
      <c r="F851" s="7">
        <f t="shared" si="101"/>
        <v>5</v>
      </c>
      <c r="G851" s="9"/>
      <c r="H851" s="6">
        <v>69</v>
      </c>
      <c r="I851" s="7"/>
      <c r="J851" s="9"/>
      <c r="K851" s="9"/>
      <c r="L851" s="9"/>
      <c r="M851" s="9"/>
      <c r="N851" s="9"/>
      <c r="O851" s="9"/>
      <c r="P851" s="10"/>
      <c r="Q851" s="9"/>
      <c r="R851" s="9"/>
      <c r="S851" s="10"/>
      <c r="T851" s="9"/>
      <c r="Y851" s="13"/>
      <c r="AB851" s="13"/>
      <c r="AD851" s="6"/>
      <c r="AE851" s="8"/>
    </row>
    <row r="852" spans="1:31" x14ac:dyDescent="0.25">
      <c r="A852" s="6" t="s">
        <v>985</v>
      </c>
      <c r="B852" s="6">
        <v>14.5</v>
      </c>
      <c r="C852" s="6">
        <v>139</v>
      </c>
      <c r="D852" s="6">
        <v>12</v>
      </c>
      <c r="E852" s="6">
        <v>3</v>
      </c>
      <c r="F852" s="7">
        <f t="shared" si="101"/>
        <v>15.444444444444445</v>
      </c>
      <c r="G852" s="9">
        <v>10</v>
      </c>
      <c r="H852" s="6">
        <v>328</v>
      </c>
      <c r="I852" s="7">
        <f t="shared" si="102"/>
        <v>32.799999999999997</v>
      </c>
      <c r="J852" s="9"/>
      <c r="K852" s="9"/>
      <c r="L852" s="9"/>
      <c r="M852" s="9"/>
      <c r="N852" s="9"/>
      <c r="O852" s="9"/>
      <c r="P852" s="10"/>
      <c r="Q852" s="9"/>
      <c r="R852" s="9"/>
      <c r="S852" s="10"/>
      <c r="T852" s="9"/>
      <c r="U852" s="13">
        <v>3</v>
      </c>
      <c r="V852" s="13">
        <v>3</v>
      </c>
      <c r="W852" s="13">
        <v>1</v>
      </c>
      <c r="X852" s="13"/>
      <c r="Y852" s="13">
        <f t="shared" ref="Y852:Y858" si="112">(V852/(W852-X852))</f>
        <v>3</v>
      </c>
      <c r="Z852" s="13">
        <v>2</v>
      </c>
      <c r="AA852" s="13">
        <v>35</v>
      </c>
      <c r="AB852" s="13">
        <f t="shared" si="107"/>
        <v>17.5</v>
      </c>
      <c r="AD852" s="6"/>
      <c r="AE852" s="8" t="s">
        <v>1057</v>
      </c>
    </row>
    <row r="853" spans="1:31" x14ac:dyDescent="0.25">
      <c r="A853" s="6" t="s">
        <v>1187</v>
      </c>
      <c r="B853" s="6">
        <v>7</v>
      </c>
      <c r="C853" s="6">
        <v>59</v>
      </c>
      <c r="D853" s="6">
        <v>4</v>
      </c>
      <c r="E853" s="6">
        <v>1</v>
      </c>
      <c r="F853" s="7">
        <f t="shared" si="101"/>
        <v>19.666666666666668</v>
      </c>
      <c r="G853" s="9">
        <v>17</v>
      </c>
      <c r="H853" s="6">
        <v>260</v>
      </c>
      <c r="I853" s="7">
        <f t="shared" si="102"/>
        <v>15.294117647058824</v>
      </c>
      <c r="J853" s="9"/>
      <c r="K853" s="9"/>
      <c r="L853" s="9"/>
      <c r="M853" s="9"/>
      <c r="N853" s="9"/>
      <c r="O853" s="9"/>
      <c r="P853" s="10"/>
      <c r="Q853" s="9"/>
      <c r="R853" s="9"/>
      <c r="S853" s="10"/>
      <c r="T853" s="9"/>
      <c r="U853" s="13"/>
      <c r="V853" s="13"/>
      <c r="W853" s="13"/>
      <c r="X853" s="13"/>
      <c r="Y853" s="13"/>
      <c r="Z853" s="13"/>
      <c r="AA853" s="13"/>
      <c r="AB853" s="13"/>
      <c r="AD853" s="6"/>
      <c r="AE853" s="8" t="s">
        <v>1105</v>
      </c>
    </row>
    <row r="854" spans="1:31" x14ac:dyDescent="0.25">
      <c r="A854" s="6" t="s">
        <v>595</v>
      </c>
      <c r="B854" s="9">
        <v>86</v>
      </c>
      <c r="C854" s="9">
        <v>2222</v>
      </c>
      <c r="D854" s="9">
        <v>99</v>
      </c>
      <c r="E854" s="9">
        <v>9</v>
      </c>
      <c r="F854" s="7">
        <f t="shared" si="101"/>
        <v>24.68888888888889</v>
      </c>
      <c r="G854" s="9">
        <v>99</v>
      </c>
      <c r="H854" s="9">
        <v>4330</v>
      </c>
      <c r="I854" s="7">
        <f t="shared" si="102"/>
        <v>43.737373737373737</v>
      </c>
      <c r="J854" s="9"/>
      <c r="K854" s="9"/>
      <c r="L854" s="9"/>
      <c r="M854" s="9"/>
      <c r="N854" s="9"/>
      <c r="O854" s="9"/>
      <c r="P854" s="7"/>
      <c r="Q854" s="9"/>
      <c r="R854" s="9"/>
      <c r="S854" s="7"/>
      <c r="Y854" s="13"/>
      <c r="AA854" s="6"/>
      <c r="AB854" s="13"/>
    </row>
    <row r="855" spans="1:31" x14ac:dyDescent="0.25">
      <c r="A855" s="6" t="s">
        <v>596</v>
      </c>
      <c r="B855" s="9">
        <v>39</v>
      </c>
      <c r="C855" s="9">
        <v>389</v>
      </c>
      <c r="D855" s="9">
        <v>40</v>
      </c>
      <c r="E855" s="9">
        <v>9</v>
      </c>
      <c r="F855" s="7">
        <f t="shared" si="101"/>
        <v>12.548387096774194</v>
      </c>
      <c r="G855" s="9">
        <v>59</v>
      </c>
      <c r="H855" s="9">
        <v>1103</v>
      </c>
      <c r="I855" s="7">
        <f t="shared" si="102"/>
        <v>18.694915254237287</v>
      </c>
      <c r="J855" s="9"/>
      <c r="K855" s="9"/>
      <c r="L855" s="9"/>
      <c r="M855" s="9"/>
      <c r="N855" s="9"/>
      <c r="O855" s="9"/>
      <c r="P855" s="7"/>
      <c r="Q855" s="9"/>
      <c r="R855" s="9"/>
      <c r="S855" s="7"/>
      <c r="Y855" s="13"/>
      <c r="AA855" s="6"/>
      <c r="AB855" s="13"/>
    </row>
    <row r="856" spans="1:31" x14ac:dyDescent="0.25">
      <c r="A856" s="6" t="s">
        <v>903</v>
      </c>
      <c r="B856" s="9">
        <v>1</v>
      </c>
      <c r="C856" s="9">
        <v>9</v>
      </c>
      <c r="D856" s="9">
        <v>1</v>
      </c>
      <c r="E856" s="9"/>
      <c r="F856" s="7">
        <f t="shared" si="101"/>
        <v>9</v>
      </c>
      <c r="G856" s="9">
        <v>4</v>
      </c>
      <c r="H856" s="9">
        <v>45</v>
      </c>
      <c r="I856" s="7"/>
      <c r="J856" s="9"/>
      <c r="K856" s="9"/>
      <c r="L856" s="9"/>
      <c r="M856" s="9"/>
      <c r="N856" s="9"/>
      <c r="O856" s="9"/>
      <c r="P856" s="7"/>
      <c r="Q856" s="9"/>
      <c r="R856" s="9"/>
      <c r="S856" s="7"/>
      <c r="Y856" s="13"/>
      <c r="AA856" s="6"/>
      <c r="AB856" s="13"/>
    </row>
    <row r="857" spans="1:31" x14ac:dyDescent="0.25">
      <c r="A857" s="6" t="s">
        <v>772</v>
      </c>
      <c r="B857" s="9">
        <v>19.5</v>
      </c>
      <c r="C857" s="9">
        <v>164</v>
      </c>
      <c r="D857" s="9">
        <v>16</v>
      </c>
      <c r="E857" s="9">
        <v>2</v>
      </c>
      <c r="F857" s="7">
        <f t="shared" si="101"/>
        <v>11.714285714285714</v>
      </c>
      <c r="G857" s="9">
        <v>35</v>
      </c>
      <c r="H857" s="9">
        <v>598</v>
      </c>
      <c r="I857" s="7">
        <f t="shared" si="102"/>
        <v>17.085714285714285</v>
      </c>
      <c r="J857" s="9"/>
      <c r="K857" s="9"/>
      <c r="L857" s="9">
        <v>19</v>
      </c>
      <c r="M857" s="9">
        <v>117</v>
      </c>
      <c r="N857" s="9">
        <v>11</v>
      </c>
      <c r="O857" s="9">
        <v>2</v>
      </c>
      <c r="P857" s="15">
        <f t="shared" si="110"/>
        <v>13</v>
      </c>
      <c r="Q857" s="9">
        <v>21</v>
      </c>
      <c r="R857" s="9">
        <v>329</v>
      </c>
      <c r="S857" s="7">
        <f t="shared" si="111"/>
        <v>15.666666666666666</v>
      </c>
      <c r="T857" s="8"/>
      <c r="Y857" s="13"/>
      <c r="AB857" s="13"/>
      <c r="AD857" s="6"/>
      <c r="AE857" s="8" t="s">
        <v>841</v>
      </c>
    </row>
    <row r="858" spans="1:31" x14ac:dyDescent="0.25">
      <c r="A858" s="6" t="s">
        <v>1055</v>
      </c>
      <c r="B858" s="6">
        <v>2</v>
      </c>
      <c r="C858" s="6">
        <v>80</v>
      </c>
      <c r="D858" s="6">
        <v>4</v>
      </c>
      <c r="E858" s="9"/>
      <c r="F858" s="7">
        <f t="shared" si="101"/>
        <v>20</v>
      </c>
      <c r="G858" s="6">
        <v>1</v>
      </c>
      <c r="H858" s="6">
        <v>12</v>
      </c>
      <c r="I858" s="7">
        <f t="shared" si="102"/>
        <v>12</v>
      </c>
      <c r="J858" s="9"/>
      <c r="K858" s="9"/>
      <c r="L858" s="9"/>
      <c r="M858" s="9"/>
      <c r="N858" s="9"/>
      <c r="O858" s="9"/>
      <c r="P858" s="15"/>
      <c r="Q858" s="9"/>
      <c r="R858" s="9"/>
      <c r="S858" s="7"/>
      <c r="T858" s="8"/>
      <c r="U858" s="13">
        <v>4</v>
      </c>
      <c r="V858" s="13">
        <v>80</v>
      </c>
      <c r="W858" s="13">
        <v>4</v>
      </c>
      <c r="X858" s="13"/>
      <c r="Y858" s="13">
        <f t="shared" si="112"/>
        <v>20</v>
      </c>
      <c r="Z858" s="13">
        <v>1</v>
      </c>
      <c r="AA858" s="13">
        <v>12</v>
      </c>
      <c r="AB858" s="13">
        <f t="shared" si="107"/>
        <v>12</v>
      </c>
      <c r="AD858" s="6"/>
      <c r="AE858" s="8" t="s">
        <v>1056</v>
      </c>
    </row>
    <row r="859" spans="1:31" x14ac:dyDescent="0.25">
      <c r="A859" s="6" t="s">
        <v>597</v>
      </c>
      <c r="B859" s="9">
        <v>75</v>
      </c>
      <c r="C859" s="9">
        <v>1730</v>
      </c>
      <c r="D859" s="9">
        <v>75</v>
      </c>
      <c r="E859" s="9">
        <v>15</v>
      </c>
      <c r="F859" s="7">
        <f t="shared" si="101"/>
        <v>28.833333333333332</v>
      </c>
      <c r="G859" s="9">
        <v>1</v>
      </c>
      <c r="H859" s="9">
        <v>1</v>
      </c>
      <c r="I859" s="7">
        <f t="shared" si="102"/>
        <v>1</v>
      </c>
      <c r="J859" s="9"/>
      <c r="K859" s="9"/>
      <c r="L859" s="9"/>
      <c r="M859" s="9"/>
      <c r="N859" s="9"/>
      <c r="O859" s="9"/>
      <c r="P859" s="15"/>
      <c r="Q859" s="9"/>
      <c r="R859" s="9"/>
      <c r="S859" s="7"/>
      <c r="Y859" s="13"/>
      <c r="AA859" s="6"/>
      <c r="AB859" s="13"/>
    </row>
    <row r="860" spans="1:31" x14ac:dyDescent="0.25">
      <c r="A860" s="6" t="s">
        <v>773</v>
      </c>
      <c r="B860" s="9">
        <v>2</v>
      </c>
      <c r="C860" s="9">
        <v>9</v>
      </c>
      <c r="D860" s="9">
        <v>2</v>
      </c>
      <c r="E860" s="9">
        <v>2</v>
      </c>
      <c r="F860" s="10" t="s">
        <v>804</v>
      </c>
      <c r="G860" s="9"/>
      <c r="H860" s="9"/>
      <c r="I860" s="7"/>
      <c r="J860" s="9"/>
      <c r="K860" s="9"/>
      <c r="L860" s="9">
        <v>2</v>
      </c>
      <c r="M860" s="9">
        <v>9</v>
      </c>
      <c r="N860" s="9">
        <v>2</v>
      </c>
      <c r="O860" s="9">
        <v>2</v>
      </c>
      <c r="P860" s="16" t="s">
        <v>804</v>
      </c>
      <c r="Q860" s="9"/>
      <c r="R860" s="9"/>
      <c r="S860" s="7"/>
      <c r="T860" s="8"/>
      <c r="Y860" s="13"/>
      <c r="AB860" s="13"/>
      <c r="AD860" s="6"/>
      <c r="AE860" s="8" t="s">
        <v>41</v>
      </c>
    </row>
    <row r="861" spans="1:31" x14ac:dyDescent="0.25">
      <c r="A861" s="6" t="s">
        <v>598</v>
      </c>
      <c r="B861" s="9">
        <v>19</v>
      </c>
      <c r="C861" s="9">
        <v>132</v>
      </c>
      <c r="D861" s="9">
        <v>14</v>
      </c>
      <c r="E861" s="9">
        <v>3</v>
      </c>
      <c r="F861" s="7">
        <f t="shared" si="101"/>
        <v>12</v>
      </c>
      <c r="G861" s="9">
        <v>27</v>
      </c>
      <c r="H861" s="9">
        <v>378</v>
      </c>
      <c r="I861" s="7">
        <f t="shared" si="102"/>
        <v>14</v>
      </c>
      <c r="J861" s="9"/>
      <c r="K861" s="9"/>
      <c r="L861" s="9"/>
      <c r="M861" s="9"/>
      <c r="N861" s="9"/>
      <c r="O861" s="9"/>
      <c r="P861" s="15"/>
      <c r="Q861" s="9"/>
      <c r="R861" s="9"/>
      <c r="S861" s="7"/>
      <c r="Y861" s="13"/>
      <c r="AA861" s="6"/>
      <c r="AB861" s="13"/>
    </row>
    <row r="862" spans="1:31" x14ac:dyDescent="0.25">
      <c r="A862" s="6" t="s">
        <v>774</v>
      </c>
      <c r="B862" s="9">
        <v>8</v>
      </c>
      <c r="C862" s="9">
        <v>159</v>
      </c>
      <c r="D862" s="9">
        <v>9</v>
      </c>
      <c r="E862" s="9">
        <v>1</v>
      </c>
      <c r="F862" s="7">
        <f t="shared" si="101"/>
        <v>19.875</v>
      </c>
      <c r="G862" s="9"/>
      <c r="H862" s="9">
        <v>21</v>
      </c>
      <c r="I862" s="10" t="s">
        <v>804</v>
      </c>
      <c r="J862" s="9"/>
      <c r="K862" s="9"/>
      <c r="L862" s="9">
        <v>6</v>
      </c>
      <c r="M862" s="9">
        <v>91</v>
      </c>
      <c r="N862" s="9">
        <v>6</v>
      </c>
      <c r="O862" s="9">
        <v>1</v>
      </c>
      <c r="P862" s="15">
        <f t="shared" si="110"/>
        <v>18.2</v>
      </c>
      <c r="Q862" s="9"/>
      <c r="R862" s="9">
        <v>21</v>
      </c>
      <c r="S862" s="10" t="s">
        <v>804</v>
      </c>
      <c r="T862" s="8"/>
      <c r="Y862" s="13"/>
      <c r="AB862" s="13"/>
      <c r="AD862" s="6"/>
      <c r="AE862" s="8" t="s">
        <v>904</v>
      </c>
    </row>
    <row r="863" spans="1:31" x14ac:dyDescent="0.25">
      <c r="A863" s="6" t="s">
        <v>842</v>
      </c>
      <c r="B863" s="9">
        <v>22.5</v>
      </c>
      <c r="C863" s="9">
        <v>204</v>
      </c>
      <c r="D863" s="9">
        <v>22</v>
      </c>
      <c r="E863" s="9">
        <v>3</v>
      </c>
      <c r="F863" s="7">
        <f t="shared" si="101"/>
        <v>10.736842105263158</v>
      </c>
      <c r="G863" s="9">
        <v>20</v>
      </c>
      <c r="H863" s="9">
        <v>712</v>
      </c>
      <c r="I863" s="7">
        <f t="shared" si="102"/>
        <v>35.6</v>
      </c>
      <c r="J863" s="9"/>
      <c r="K863" s="9"/>
      <c r="L863" s="9">
        <v>11</v>
      </c>
      <c r="M863" s="9">
        <v>89</v>
      </c>
      <c r="N863" s="9">
        <v>11</v>
      </c>
      <c r="O863" s="9"/>
      <c r="P863" s="15">
        <f t="shared" si="110"/>
        <v>8.0909090909090917</v>
      </c>
      <c r="Q863" s="9">
        <v>5</v>
      </c>
      <c r="R863" s="9">
        <v>256</v>
      </c>
      <c r="S863" s="7">
        <f t="shared" si="111"/>
        <v>51.2</v>
      </c>
      <c r="T863" s="8"/>
      <c r="Y863" s="13"/>
      <c r="AB863" s="13"/>
      <c r="AD863" s="6"/>
      <c r="AE863" s="8" t="s">
        <v>905</v>
      </c>
    </row>
    <row r="864" spans="1:31" x14ac:dyDescent="0.25">
      <c r="A864" s="6" t="s">
        <v>599</v>
      </c>
      <c r="B864" s="9">
        <v>110</v>
      </c>
      <c r="C864" s="9">
        <v>2180</v>
      </c>
      <c r="D864" s="9">
        <v>119</v>
      </c>
      <c r="E864" s="9">
        <v>16</v>
      </c>
      <c r="F864" s="7">
        <f t="shared" si="101"/>
        <v>21.16504854368932</v>
      </c>
      <c r="G864" s="9">
        <v>91</v>
      </c>
      <c r="H864" s="9">
        <v>1568</v>
      </c>
      <c r="I864" s="7">
        <f t="shared" si="102"/>
        <v>17.23076923076923</v>
      </c>
      <c r="J864" s="9"/>
      <c r="K864" s="9"/>
      <c r="L864" s="9"/>
      <c r="M864" s="9"/>
      <c r="N864" s="9"/>
      <c r="O864" s="9"/>
      <c r="P864" s="7"/>
      <c r="Q864" s="9"/>
      <c r="R864" s="9"/>
      <c r="S864" s="7"/>
      <c r="Y864" s="13"/>
      <c r="AA864" s="6"/>
      <c r="AB864" s="13"/>
    </row>
    <row r="865" spans="1:31" x14ac:dyDescent="0.25">
      <c r="A865" s="6" t="s">
        <v>600</v>
      </c>
      <c r="B865" s="9">
        <v>6</v>
      </c>
      <c r="C865" s="9">
        <v>24</v>
      </c>
      <c r="D865" s="9">
        <v>5</v>
      </c>
      <c r="E865" s="9">
        <v>2</v>
      </c>
      <c r="F865" s="7">
        <f t="shared" si="101"/>
        <v>8</v>
      </c>
      <c r="G865" s="9">
        <v>4</v>
      </c>
      <c r="H865" s="9">
        <v>44</v>
      </c>
      <c r="I865" s="7">
        <f t="shared" si="102"/>
        <v>11</v>
      </c>
      <c r="J865" s="9"/>
      <c r="K865" s="9"/>
      <c r="L865" s="9"/>
      <c r="M865" s="9"/>
      <c r="N865" s="9"/>
      <c r="O865" s="9"/>
      <c r="P865" s="7"/>
      <c r="Q865" s="9"/>
      <c r="R865" s="9"/>
      <c r="S865" s="7"/>
      <c r="Y865" s="13"/>
      <c r="AA865" s="6"/>
      <c r="AB865" s="13"/>
    </row>
    <row r="866" spans="1:31" x14ac:dyDescent="0.25">
      <c r="A866" s="6" t="s">
        <v>601</v>
      </c>
      <c r="B866" s="9">
        <v>2</v>
      </c>
      <c r="C866" s="9">
        <v>33</v>
      </c>
      <c r="D866" s="9">
        <v>3</v>
      </c>
      <c r="E866" s="9">
        <v>1</v>
      </c>
      <c r="F866" s="7">
        <f t="shared" si="101"/>
        <v>16.5</v>
      </c>
      <c r="G866" s="9"/>
      <c r="H866" s="9">
        <v>5</v>
      </c>
      <c r="I866" s="7"/>
      <c r="J866" s="9"/>
      <c r="K866" s="9"/>
      <c r="L866" s="9"/>
      <c r="M866" s="9"/>
      <c r="N866" s="9"/>
      <c r="O866" s="9"/>
      <c r="P866" s="7"/>
      <c r="Q866" s="9"/>
      <c r="R866" s="9"/>
      <c r="S866" s="7"/>
      <c r="Y866" s="13"/>
      <c r="AA866" s="6"/>
      <c r="AB866" s="13"/>
    </row>
    <row r="867" spans="1:31" x14ac:dyDescent="0.25">
      <c r="A867" s="6" t="s">
        <v>952</v>
      </c>
      <c r="B867" s="9">
        <v>2</v>
      </c>
      <c r="C867" s="9">
        <v>2</v>
      </c>
      <c r="D867" s="9">
        <v>1</v>
      </c>
      <c r="E867" s="9"/>
      <c r="F867" s="7"/>
      <c r="G867" s="9">
        <v>0</v>
      </c>
      <c r="H867" s="9">
        <v>12</v>
      </c>
      <c r="I867" s="7"/>
      <c r="J867" s="9"/>
      <c r="K867" s="9"/>
      <c r="L867" s="9"/>
      <c r="M867" s="9"/>
      <c r="N867" s="9"/>
      <c r="O867" s="9"/>
      <c r="P867" s="7"/>
      <c r="Q867" s="9"/>
      <c r="R867" s="9"/>
      <c r="S867" s="7"/>
      <c r="Y867" s="13"/>
      <c r="AA867" s="6"/>
      <c r="AB867" s="13"/>
    </row>
    <row r="868" spans="1:31" x14ac:dyDescent="0.25">
      <c r="A868" s="6" t="s">
        <v>602</v>
      </c>
      <c r="B868" s="9">
        <v>2</v>
      </c>
      <c r="C868" s="9">
        <v>9</v>
      </c>
      <c r="D868" s="9">
        <v>1</v>
      </c>
      <c r="E868" s="9"/>
      <c r="F868" s="7">
        <f t="shared" si="101"/>
        <v>9</v>
      </c>
      <c r="G868" s="9"/>
      <c r="H868" s="9">
        <v>5</v>
      </c>
      <c r="I868" s="7"/>
      <c r="J868" s="9"/>
      <c r="K868" s="9"/>
      <c r="L868" s="9"/>
      <c r="M868" s="9"/>
      <c r="N868" s="9"/>
      <c r="O868" s="9"/>
      <c r="P868" s="7"/>
      <c r="Q868" s="9"/>
      <c r="R868" s="9"/>
      <c r="S868" s="7"/>
      <c r="Y868" s="13"/>
      <c r="AA868" s="6"/>
      <c r="AB868" s="13"/>
    </row>
    <row r="869" spans="1:31" x14ac:dyDescent="0.25">
      <c r="A869" s="6" t="s">
        <v>775</v>
      </c>
      <c r="B869" s="9">
        <v>21</v>
      </c>
      <c r="C869" s="9">
        <v>258</v>
      </c>
      <c r="D869" s="9">
        <v>17</v>
      </c>
      <c r="E869" s="9">
        <v>6</v>
      </c>
      <c r="F869" s="7">
        <f t="shared" si="101"/>
        <v>23.454545454545453</v>
      </c>
      <c r="G869" s="9">
        <v>43</v>
      </c>
      <c r="H869" s="9">
        <v>905</v>
      </c>
      <c r="I869" s="7">
        <f t="shared" si="102"/>
        <v>21.046511627906977</v>
      </c>
      <c r="J869" s="9"/>
      <c r="K869" s="9"/>
      <c r="L869" s="9">
        <v>1</v>
      </c>
      <c r="M869" s="9">
        <v>53</v>
      </c>
      <c r="N869" s="9">
        <v>1</v>
      </c>
      <c r="O869" s="9">
        <v>1</v>
      </c>
      <c r="P869" s="10" t="s">
        <v>804</v>
      </c>
      <c r="Q869" s="9">
        <v>1</v>
      </c>
      <c r="R869" s="9">
        <v>7</v>
      </c>
      <c r="S869" s="7">
        <f t="shared" si="111"/>
        <v>7</v>
      </c>
      <c r="T869" s="8"/>
      <c r="Y869" s="13"/>
      <c r="AB869" s="13"/>
      <c r="AD869" s="6"/>
      <c r="AE869" s="8" t="s">
        <v>843</v>
      </c>
    </row>
    <row r="870" spans="1:31" x14ac:dyDescent="0.25">
      <c r="A870" s="6" t="s">
        <v>651</v>
      </c>
      <c r="B870" s="9">
        <v>4</v>
      </c>
      <c r="C870" s="9">
        <v>62</v>
      </c>
      <c r="D870" s="9">
        <v>4</v>
      </c>
      <c r="E870" s="9">
        <v>2</v>
      </c>
      <c r="F870" s="7">
        <f t="shared" si="101"/>
        <v>31</v>
      </c>
      <c r="G870" s="9">
        <v>4</v>
      </c>
      <c r="H870" s="9">
        <v>52</v>
      </c>
      <c r="I870" s="7">
        <f t="shared" si="102"/>
        <v>13</v>
      </c>
      <c r="J870" s="9"/>
      <c r="K870" s="9"/>
      <c r="L870" s="9">
        <v>2</v>
      </c>
      <c r="M870" s="9">
        <v>54</v>
      </c>
      <c r="N870" s="9">
        <v>2</v>
      </c>
      <c r="O870" s="9">
        <v>2</v>
      </c>
      <c r="P870" s="7"/>
      <c r="Q870" s="9">
        <v>1</v>
      </c>
      <c r="R870" s="9">
        <v>44</v>
      </c>
      <c r="S870" s="7">
        <f t="shared" si="111"/>
        <v>44</v>
      </c>
      <c r="T870" s="8"/>
      <c r="Y870" s="13"/>
      <c r="AB870" s="13"/>
      <c r="AD870" s="6"/>
      <c r="AE870" s="8" t="s">
        <v>41</v>
      </c>
    </row>
    <row r="871" spans="1:31" x14ac:dyDescent="0.25">
      <c r="A871" s="6" t="s">
        <v>677</v>
      </c>
      <c r="B871" s="9">
        <v>2</v>
      </c>
      <c r="C871" s="9"/>
      <c r="D871" s="9"/>
      <c r="E871" s="9"/>
      <c r="F871" s="7"/>
      <c r="G871" s="9">
        <v>2</v>
      </c>
      <c r="H871" s="9">
        <v>32</v>
      </c>
      <c r="I871" s="7">
        <f t="shared" si="102"/>
        <v>16</v>
      </c>
      <c r="J871" s="9"/>
      <c r="K871" s="9"/>
      <c r="L871" s="9">
        <v>2</v>
      </c>
      <c r="M871" s="9"/>
      <c r="N871" s="9"/>
      <c r="O871" s="9"/>
      <c r="P871" s="7"/>
      <c r="Q871" s="9">
        <v>2</v>
      </c>
      <c r="R871" s="9">
        <v>32</v>
      </c>
      <c r="S871" s="7">
        <f t="shared" si="111"/>
        <v>16</v>
      </c>
      <c r="T871" s="8"/>
      <c r="Y871" s="13"/>
      <c r="AB871" s="13"/>
      <c r="AD871" s="6"/>
      <c r="AE871" s="8" t="s">
        <v>41</v>
      </c>
    </row>
    <row r="872" spans="1:31" x14ac:dyDescent="0.25">
      <c r="A872" s="6" t="s">
        <v>678</v>
      </c>
      <c r="B872" s="9">
        <v>1</v>
      </c>
      <c r="C872" s="9"/>
      <c r="D872" s="9"/>
      <c r="E872" s="9"/>
      <c r="F872" s="7"/>
      <c r="G872" s="9">
        <v>3</v>
      </c>
      <c r="H872" s="9">
        <v>16</v>
      </c>
      <c r="I872" s="7">
        <f t="shared" si="102"/>
        <v>5.333333333333333</v>
      </c>
      <c r="J872" s="9"/>
      <c r="K872" s="9"/>
      <c r="L872" s="9">
        <v>1</v>
      </c>
      <c r="M872" s="9"/>
      <c r="N872" s="9"/>
      <c r="O872" s="9"/>
      <c r="P872" s="7"/>
      <c r="Q872" s="9">
        <v>3</v>
      </c>
      <c r="R872" s="9">
        <v>16</v>
      </c>
      <c r="S872" s="7">
        <f t="shared" si="111"/>
        <v>5.333333333333333</v>
      </c>
      <c r="T872" s="8"/>
      <c r="Y872" s="13"/>
      <c r="AB872" s="13"/>
      <c r="AD872" s="6"/>
      <c r="AE872" s="8" t="s">
        <v>23</v>
      </c>
    </row>
    <row r="873" spans="1:31" x14ac:dyDescent="0.25">
      <c r="A873" s="6" t="s">
        <v>603</v>
      </c>
      <c r="B873" s="9">
        <v>38</v>
      </c>
      <c r="C873" s="9">
        <v>441</v>
      </c>
      <c r="D873" s="9">
        <v>42</v>
      </c>
      <c r="E873" s="9">
        <v>6</v>
      </c>
      <c r="F873" s="7">
        <f t="shared" si="101"/>
        <v>12.25</v>
      </c>
      <c r="G873" s="9">
        <v>64</v>
      </c>
      <c r="H873" s="9">
        <v>1113</v>
      </c>
      <c r="I873" s="7">
        <f t="shared" si="102"/>
        <v>17.390625</v>
      </c>
      <c r="J873" s="9"/>
      <c r="K873" s="9"/>
      <c r="L873" s="9"/>
      <c r="M873" s="9"/>
      <c r="N873" s="9"/>
      <c r="O873" s="9"/>
      <c r="P873" s="7"/>
      <c r="Q873" s="9"/>
      <c r="R873" s="9"/>
      <c r="S873" s="7"/>
      <c r="Y873" s="13"/>
      <c r="AA873" s="6"/>
      <c r="AB873" s="13"/>
    </row>
    <row r="874" spans="1:31" x14ac:dyDescent="0.25">
      <c r="A874" s="6" t="s">
        <v>801</v>
      </c>
      <c r="B874" s="9">
        <v>4</v>
      </c>
      <c r="C874" s="9">
        <v>65</v>
      </c>
      <c r="D874" s="9">
        <v>4</v>
      </c>
      <c r="E874" s="9">
        <v>1</v>
      </c>
      <c r="F874" s="7">
        <f t="shared" si="101"/>
        <v>21.666666666666668</v>
      </c>
      <c r="G874" s="9">
        <v>5</v>
      </c>
      <c r="H874" s="9">
        <v>83</v>
      </c>
      <c r="I874" s="7">
        <f t="shared" si="102"/>
        <v>16.600000000000001</v>
      </c>
      <c r="J874" s="9"/>
      <c r="K874" s="9"/>
      <c r="L874" s="9"/>
      <c r="M874" s="9"/>
      <c r="N874" s="9"/>
      <c r="O874" s="9"/>
      <c r="P874" s="7"/>
      <c r="Q874" s="9"/>
      <c r="R874" s="9"/>
      <c r="S874" s="7"/>
      <c r="Y874" s="13"/>
      <c r="AA874" s="6"/>
      <c r="AB874" s="13"/>
    </row>
    <row r="875" spans="1:31" x14ac:dyDescent="0.25">
      <c r="A875" s="6" t="s">
        <v>604</v>
      </c>
      <c r="B875" s="9">
        <v>7</v>
      </c>
      <c r="C875" s="9">
        <v>153</v>
      </c>
      <c r="D875" s="9">
        <v>7</v>
      </c>
      <c r="E875" s="9">
        <v>1</v>
      </c>
      <c r="F875" s="7">
        <f t="shared" si="101"/>
        <v>25.5</v>
      </c>
      <c r="G875" s="9">
        <v>10</v>
      </c>
      <c r="H875" s="9">
        <v>140</v>
      </c>
      <c r="I875" s="7">
        <f t="shared" si="102"/>
        <v>14</v>
      </c>
      <c r="J875" s="9"/>
      <c r="K875" s="9"/>
      <c r="L875" s="9"/>
      <c r="M875" s="9"/>
      <c r="N875" s="9"/>
      <c r="O875" s="9"/>
      <c r="P875" s="7"/>
      <c r="Q875" s="9"/>
      <c r="R875" s="9"/>
      <c r="S875" s="7"/>
      <c r="Y875" s="13"/>
      <c r="AA875" s="6"/>
      <c r="AB875" s="13"/>
    </row>
    <row r="876" spans="1:31" x14ac:dyDescent="0.25">
      <c r="A876" s="6" t="s">
        <v>953</v>
      </c>
      <c r="B876" s="9">
        <v>1</v>
      </c>
      <c r="C876" s="9">
        <v>24</v>
      </c>
      <c r="D876" s="9">
        <v>2</v>
      </c>
      <c r="E876" s="9"/>
      <c r="F876" s="7">
        <f t="shared" si="101"/>
        <v>12</v>
      </c>
      <c r="G876" s="9"/>
      <c r="H876" s="9"/>
      <c r="I876" s="7"/>
      <c r="J876" s="9"/>
      <c r="K876" s="9"/>
      <c r="L876" s="9"/>
      <c r="M876" s="9"/>
      <c r="N876" s="9"/>
      <c r="O876" s="9"/>
      <c r="P876" s="7"/>
      <c r="Q876" s="9"/>
      <c r="R876" s="9"/>
      <c r="S876" s="7"/>
      <c r="Y876" s="13"/>
      <c r="AA876" s="6"/>
      <c r="AB876" s="13"/>
      <c r="AD876" s="8"/>
      <c r="AE876" s="8" t="s">
        <v>923</v>
      </c>
    </row>
    <row r="877" spans="1:31" x14ac:dyDescent="0.25">
      <c r="A877" s="6" t="s">
        <v>605</v>
      </c>
      <c r="B877" s="9">
        <v>10</v>
      </c>
      <c r="C877" s="9">
        <v>127</v>
      </c>
      <c r="D877" s="9">
        <v>11</v>
      </c>
      <c r="E877" s="9">
        <v>1</v>
      </c>
      <c r="F877" s="7">
        <f t="shared" si="101"/>
        <v>12.7</v>
      </c>
      <c r="G877" s="9"/>
      <c r="H877" s="9">
        <v>22</v>
      </c>
      <c r="I877" s="7"/>
      <c r="J877" s="9"/>
      <c r="K877" s="9"/>
      <c r="L877" s="9"/>
      <c r="M877" s="9"/>
      <c r="N877" s="9"/>
      <c r="O877" s="9"/>
      <c r="P877" s="7"/>
      <c r="Q877" s="9"/>
      <c r="R877" s="9"/>
      <c r="S877" s="7"/>
      <c r="Y877" s="13"/>
      <c r="AA877" s="6"/>
      <c r="AB877" s="13"/>
    </row>
    <row r="878" spans="1:31" x14ac:dyDescent="0.25">
      <c r="A878" s="6" t="s">
        <v>606</v>
      </c>
      <c r="B878" s="9">
        <v>1</v>
      </c>
      <c r="C878" s="9">
        <v>24</v>
      </c>
      <c r="D878" s="9">
        <v>1</v>
      </c>
      <c r="E878" s="9"/>
      <c r="F878" s="7">
        <f t="shared" si="101"/>
        <v>24</v>
      </c>
      <c r="G878" s="9">
        <v>2</v>
      </c>
      <c r="H878" s="9">
        <v>36</v>
      </c>
      <c r="I878" s="7">
        <f t="shared" si="102"/>
        <v>18</v>
      </c>
      <c r="J878" s="9"/>
      <c r="K878" s="9"/>
      <c r="L878" s="9">
        <v>1</v>
      </c>
      <c r="M878" s="9">
        <v>24</v>
      </c>
      <c r="N878" s="9">
        <v>1</v>
      </c>
      <c r="O878" s="9"/>
      <c r="P878" s="7">
        <f t="shared" si="110"/>
        <v>24</v>
      </c>
      <c r="Q878" s="9">
        <v>2</v>
      </c>
      <c r="R878" s="9">
        <v>36</v>
      </c>
      <c r="S878" s="7">
        <f t="shared" si="111"/>
        <v>18</v>
      </c>
      <c r="T878" s="8"/>
      <c r="Y878" s="13"/>
      <c r="AB878" s="13"/>
      <c r="AD878" s="6"/>
      <c r="AE878" s="8" t="s">
        <v>23</v>
      </c>
    </row>
    <row r="879" spans="1:31" x14ac:dyDescent="0.25">
      <c r="A879" s="6" t="s">
        <v>607</v>
      </c>
      <c r="B879" s="9">
        <v>5</v>
      </c>
      <c r="C879" s="9">
        <v>62</v>
      </c>
      <c r="D879" s="9">
        <v>7</v>
      </c>
      <c r="E879" s="9">
        <v>2</v>
      </c>
      <c r="F879" s="7">
        <f t="shared" si="101"/>
        <v>12.4</v>
      </c>
      <c r="G879" s="9">
        <v>2</v>
      </c>
      <c r="H879" s="9">
        <v>57</v>
      </c>
      <c r="I879" s="7">
        <f t="shared" si="102"/>
        <v>28.5</v>
      </c>
      <c r="J879" s="9"/>
      <c r="K879" s="9"/>
      <c r="L879" s="9"/>
      <c r="M879" s="9"/>
      <c r="N879" s="9"/>
      <c r="O879" s="9"/>
      <c r="P879" s="7"/>
      <c r="Q879" s="9"/>
      <c r="R879" s="9"/>
      <c r="S879" s="7"/>
      <c r="Y879" s="13"/>
      <c r="AA879" s="6"/>
      <c r="AB879" s="13"/>
    </row>
    <row r="880" spans="1:31" x14ac:dyDescent="0.25">
      <c r="A880" s="6" t="s">
        <v>906</v>
      </c>
      <c r="B880" s="9">
        <v>7</v>
      </c>
      <c r="C880" s="9">
        <v>26</v>
      </c>
      <c r="D880" s="9">
        <v>6</v>
      </c>
      <c r="E880" s="9">
        <v>2</v>
      </c>
      <c r="F880" s="7">
        <f t="shared" si="101"/>
        <v>6.5</v>
      </c>
      <c r="G880" s="9">
        <v>2</v>
      </c>
      <c r="H880" s="9">
        <v>80</v>
      </c>
      <c r="I880" s="7">
        <f t="shared" si="102"/>
        <v>40</v>
      </c>
      <c r="J880" s="9"/>
      <c r="K880" s="9"/>
      <c r="L880" s="9"/>
      <c r="M880" s="9"/>
      <c r="N880" s="9"/>
      <c r="O880" s="9"/>
      <c r="P880" s="7"/>
      <c r="Q880" s="9"/>
      <c r="R880" s="9"/>
      <c r="S880" s="7"/>
      <c r="U880" s="13">
        <v>4</v>
      </c>
      <c r="V880" s="13">
        <v>8</v>
      </c>
      <c r="W880" s="13">
        <v>2</v>
      </c>
      <c r="X880" s="13">
        <v>1</v>
      </c>
      <c r="Y880" s="18">
        <f t="shared" ref="Y880" si="113">(V880/(W880-X880))</f>
        <v>8</v>
      </c>
      <c r="Z880" s="13">
        <v>2</v>
      </c>
      <c r="AA880" s="6">
        <v>55</v>
      </c>
      <c r="AB880" s="13">
        <f t="shared" ref="AB880" si="114">AA880/Z880</f>
        <v>27.5</v>
      </c>
      <c r="AE880" s="8" t="s">
        <v>907</v>
      </c>
    </row>
    <row r="881" spans="1:31" x14ac:dyDescent="0.25">
      <c r="A881" s="6" t="s">
        <v>776</v>
      </c>
      <c r="B881" s="9">
        <v>1</v>
      </c>
      <c r="C881" s="9">
        <v>3</v>
      </c>
      <c r="D881" s="9">
        <v>1</v>
      </c>
      <c r="E881" s="9"/>
      <c r="F881" s="7">
        <f t="shared" si="101"/>
        <v>3</v>
      </c>
      <c r="G881" s="9"/>
      <c r="H881" s="9">
        <v>8</v>
      </c>
      <c r="I881" s="7"/>
      <c r="J881" s="9"/>
      <c r="K881" s="9"/>
      <c r="L881" s="9"/>
      <c r="M881" s="9"/>
      <c r="N881" s="9"/>
      <c r="O881" s="9"/>
      <c r="P881" s="7"/>
      <c r="Q881" s="9"/>
      <c r="R881" s="9"/>
      <c r="S881" s="7"/>
      <c r="Y881" s="13"/>
      <c r="AA881" s="6"/>
      <c r="AB881" s="13"/>
    </row>
    <row r="882" spans="1:31" x14ac:dyDescent="0.25">
      <c r="A882" s="6" t="s">
        <v>608</v>
      </c>
      <c r="B882" s="9">
        <v>201</v>
      </c>
      <c r="C882" s="9">
        <v>9205</v>
      </c>
      <c r="D882" s="9">
        <v>243</v>
      </c>
      <c r="E882" s="9">
        <v>65</v>
      </c>
      <c r="F882" s="7">
        <f t="shared" si="101"/>
        <v>51.713483146067418</v>
      </c>
      <c r="G882" s="9">
        <v>349</v>
      </c>
      <c r="H882" s="9">
        <v>5352</v>
      </c>
      <c r="I882" s="7">
        <f t="shared" si="102"/>
        <v>15.335243553008596</v>
      </c>
      <c r="J882" s="9"/>
      <c r="K882" s="9"/>
      <c r="L882" s="9">
        <v>140</v>
      </c>
      <c r="M882" s="9">
        <v>4260</v>
      </c>
      <c r="N882" s="9">
        <v>119</v>
      </c>
      <c r="O882" s="9">
        <v>44</v>
      </c>
      <c r="P882" s="7">
        <f t="shared" si="110"/>
        <v>56.8</v>
      </c>
      <c r="Q882" s="9">
        <v>247</v>
      </c>
      <c r="R882" s="9">
        <v>3714</v>
      </c>
      <c r="S882" s="7">
        <f t="shared" si="111"/>
        <v>15.036437246963562</v>
      </c>
      <c r="T882" s="8"/>
      <c r="Y882" s="13"/>
      <c r="AB882" s="13"/>
      <c r="AD882" s="6"/>
      <c r="AE882" s="8" t="s">
        <v>777</v>
      </c>
    </row>
    <row r="883" spans="1:31" x14ac:dyDescent="0.25">
      <c r="A883" s="6" t="s">
        <v>609</v>
      </c>
      <c r="B883" s="9">
        <v>2</v>
      </c>
      <c r="C883" s="9">
        <v>19</v>
      </c>
      <c r="D883" s="9">
        <v>4</v>
      </c>
      <c r="E883" s="9"/>
      <c r="F883" s="7">
        <f t="shared" si="101"/>
        <v>4.75</v>
      </c>
      <c r="G883" s="9"/>
      <c r="H883" s="9"/>
      <c r="I883" s="7"/>
      <c r="J883" s="9"/>
      <c r="K883" s="9"/>
      <c r="L883" s="9"/>
      <c r="M883" s="9"/>
      <c r="N883" s="9"/>
      <c r="O883" s="9"/>
      <c r="P883" s="7"/>
      <c r="Q883" s="9"/>
      <c r="R883" s="9"/>
      <c r="S883" s="7"/>
      <c r="Y883" s="13"/>
      <c r="AA883" s="6"/>
      <c r="AB883" s="13"/>
    </row>
    <row r="884" spans="1:31" x14ac:dyDescent="0.25">
      <c r="A884" s="6" t="s">
        <v>610</v>
      </c>
      <c r="B884" s="9">
        <v>37</v>
      </c>
      <c r="C884" s="9">
        <v>239</v>
      </c>
      <c r="D884" s="9">
        <v>33</v>
      </c>
      <c r="E884" s="9">
        <v>9</v>
      </c>
      <c r="F884" s="7">
        <f t="shared" si="101"/>
        <v>9.9583333333333339</v>
      </c>
      <c r="G884" s="9">
        <v>14</v>
      </c>
      <c r="H884" s="9">
        <v>260</v>
      </c>
      <c r="I884" s="7">
        <f t="shared" si="102"/>
        <v>18.571428571428573</v>
      </c>
      <c r="J884" s="9"/>
      <c r="K884" s="9"/>
      <c r="L884" s="9"/>
      <c r="M884" s="9"/>
      <c r="N884" s="9"/>
      <c r="O884" s="9"/>
      <c r="P884" s="7"/>
      <c r="Q884" s="9"/>
      <c r="R884" s="9"/>
      <c r="S884" s="7"/>
      <c r="Y884" s="13"/>
      <c r="AA884" s="6"/>
      <c r="AB884" s="13"/>
    </row>
    <row r="885" spans="1:31" x14ac:dyDescent="0.25">
      <c r="A885" s="6" t="s">
        <v>867</v>
      </c>
      <c r="B885" s="6">
        <v>116.5</v>
      </c>
      <c r="C885" s="6">
        <v>4583</v>
      </c>
      <c r="D885" s="6">
        <v>118</v>
      </c>
      <c r="E885" s="6">
        <v>8</v>
      </c>
      <c r="F885" s="7">
        <f t="shared" si="101"/>
        <v>41.663636363636364</v>
      </c>
      <c r="G885" s="6">
        <v>7</v>
      </c>
      <c r="H885" s="6">
        <v>225</v>
      </c>
      <c r="I885" s="7">
        <f t="shared" si="102"/>
        <v>32.142857142857146</v>
      </c>
      <c r="J885" s="9"/>
      <c r="K885" s="9"/>
      <c r="L885" s="9"/>
      <c r="M885" s="9"/>
      <c r="N885" s="9"/>
      <c r="O885" s="9"/>
      <c r="P885" s="7"/>
      <c r="Q885" s="9"/>
      <c r="R885" s="9"/>
      <c r="S885" s="7"/>
      <c r="U885" s="13">
        <v>25</v>
      </c>
      <c r="V885" s="13">
        <v>819</v>
      </c>
      <c r="W885" s="13">
        <v>23</v>
      </c>
      <c r="X885" s="13">
        <v>3</v>
      </c>
      <c r="Y885" s="18">
        <f t="shared" ref="Y885" si="115">(V885/(W885-X885))</f>
        <v>40.950000000000003</v>
      </c>
      <c r="Z885" s="13">
        <v>1</v>
      </c>
      <c r="AA885" s="13">
        <v>29</v>
      </c>
      <c r="AB885" s="19">
        <f t="shared" ref="AB885" si="116">AA885/Z885</f>
        <v>29</v>
      </c>
      <c r="AD885" s="13"/>
      <c r="AE885" s="8" t="s">
        <v>1188</v>
      </c>
    </row>
    <row r="886" spans="1:31" x14ac:dyDescent="0.25">
      <c r="A886" s="6" t="s">
        <v>611</v>
      </c>
      <c r="B886" s="9">
        <v>16</v>
      </c>
      <c r="C886" s="9">
        <v>169</v>
      </c>
      <c r="D886" s="9">
        <v>14</v>
      </c>
      <c r="E886" s="9">
        <v>2</v>
      </c>
      <c r="F886" s="7">
        <f t="shared" ref="F886:F889" si="117">(C886/(D886-E886))</f>
        <v>14.083333333333334</v>
      </c>
      <c r="G886" s="9">
        <v>33</v>
      </c>
      <c r="H886" s="9">
        <v>611</v>
      </c>
      <c r="I886" s="7">
        <f t="shared" si="102"/>
        <v>18.515151515151516</v>
      </c>
      <c r="J886" s="9"/>
      <c r="K886" s="9"/>
      <c r="L886" s="9"/>
      <c r="M886" s="9"/>
      <c r="N886" s="9"/>
      <c r="O886" s="9"/>
      <c r="P886" s="7"/>
      <c r="Q886" s="9"/>
      <c r="R886" s="9"/>
      <c r="S886" s="7"/>
      <c r="Y886" s="13"/>
      <c r="AA886" s="6"/>
      <c r="AB886" s="8"/>
    </row>
    <row r="887" spans="1:31" x14ac:dyDescent="0.25">
      <c r="A887" s="6" t="s">
        <v>612</v>
      </c>
      <c r="B887" s="9">
        <v>207</v>
      </c>
      <c r="C887" s="9">
        <v>3569</v>
      </c>
      <c r="D887" s="9">
        <v>192</v>
      </c>
      <c r="E887" s="9">
        <v>19</v>
      </c>
      <c r="F887" s="7">
        <f t="shared" si="117"/>
        <v>20.630057803468208</v>
      </c>
      <c r="G887" s="9">
        <v>58</v>
      </c>
      <c r="H887" s="9">
        <v>1441</v>
      </c>
      <c r="I887" s="7">
        <f t="shared" ref="I887:I888" si="118">(H887/G887)</f>
        <v>24.844827586206897</v>
      </c>
      <c r="J887" s="9"/>
      <c r="K887" s="9"/>
      <c r="L887" s="9">
        <v>14</v>
      </c>
      <c r="M887" s="9">
        <v>266</v>
      </c>
      <c r="N887" s="9">
        <v>10</v>
      </c>
      <c r="O887" s="9">
        <v>3</v>
      </c>
      <c r="P887" s="7">
        <f t="shared" si="110"/>
        <v>38</v>
      </c>
      <c r="Q887" s="9">
        <v>12</v>
      </c>
      <c r="R887" s="9">
        <v>142</v>
      </c>
      <c r="S887" s="7">
        <f t="shared" si="111"/>
        <v>11.833333333333334</v>
      </c>
      <c r="T887" s="8"/>
      <c r="Y887" s="13"/>
      <c r="AD887" s="6"/>
      <c r="AE887" s="8" t="s">
        <v>802</v>
      </c>
    </row>
    <row r="888" spans="1:31" x14ac:dyDescent="0.25">
      <c r="A888" s="6" t="s">
        <v>613</v>
      </c>
      <c r="B888" s="9">
        <v>89</v>
      </c>
      <c r="C888" s="9">
        <v>472</v>
      </c>
      <c r="D888" s="9">
        <v>81</v>
      </c>
      <c r="E888" s="9">
        <v>20</v>
      </c>
      <c r="F888" s="7">
        <f t="shared" si="117"/>
        <v>7.7377049180327866</v>
      </c>
      <c r="G888" s="9">
        <v>16</v>
      </c>
      <c r="H888" s="9">
        <v>477</v>
      </c>
      <c r="I888" s="7">
        <f t="shared" si="118"/>
        <v>29.8125</v>
      </c>
      <c r="J888" s="9"/>
      <c r="K888" s="9"/>
      <c r="L888" s="9"/>
      <c r="M888" s="9"/>
      <c r="N888" s="9"/>
      <c r="O888" s="9"/>
      <c r="P888" s="7"/>
      <c r="Q888" s="9"/>
      <c r="R888" s="9"/>
      <c r="S888" s="7"/>
      <c r="Y888" s="13"/>
      <c r="AA888" s="6"/>
      <c r="AB888" s="8"/>
    </row>
    <row r="889" spans="1:31" x14ac:dyDescent="0.25">
      <c r="A889" s="6" t="s">
        <v>614</v>
      </c>
      <c r="B889" s="9">
        <v>26</v>
      </c>
      <c r="C889" s="9">
        <v>399</v>
      </c>
      <c r="D889" s="9">
        <v>28</v>
      </c>
      <c r="E889" s="9">
        <v>8</v>
      </c>
      <c r="F889" s="7">
        <f t="shared" si="117"/>
        <v>19.95</v>
      </c>
      <c r="G889" s="9"/>
      <c r="H889" s="9"/>
      <c r="I889" s="7"/>
      <c r="J889" s="9"/>
      <c r="K889" s="9"/>
      <c r="L889" s="9"/>
      <c r="M889" s="9"/>
      <c r="N889" s="9"/>
      <c r="O889" s="9"/>
      <c r="P889" s="7"/>
      <c r="Q889" s="9"/>
      <c r="R889" s="9"/>
      <c r="S889" s="7"/>
      <c r="Y889" s="13"/>
      <c r="AA889" s="6"/>
      <c r="AB889" s="8"/>
    </row>
    <row r="890" spans="1:31" x14ac:dyDescent="0.25">
      <c r="A890" s="9"/>
      <c r="B890" s="9"/>
      <c r="C890" s="9"/>
      <c r="D890" s="9"/>
      <c r="E890" s="9"/>
      <c r="F890" s="7"/>
      <c r="G890" s="9"/>
      <c r="H890" s="9"/>
      <c r="I890" s="7"/>
      <c r="J890" s="9"/>
      <c r="K890" s="9"/>
      <c r="L890" s="9"/>
      <c r="M890" s="9"/>
      <c r="N890" s="9"/>
      <c r="O890" s="9"/>
      <c r="P890" s="7"/>
      <c r="Q890" s="9"/>
      <c r="R890" s="9"/>
      <c r="S890" s="7"/>
      <c r="Y890" s="13"/>
      <c r="AA890" s="6"/>
      <c r="AB890" s="8"/>
    </row>
    <row r="891" spans="1:31" x14ac:dyDescent="0.25">
      <c r="A891" s="9"/>
      <c r="B891" s="9"/>
      <c r="C891" s="9"/>
      <c r="D891" s="9"/>
      <c r="E891" s="9"/>
      <c r="F891" s="7"/>
      <c r="G891" s="9"/>
      <c r="H891" s="9"/>
      <c r="I891" s="7"/>
      <c r="J891" s="9"/>
      <c r="K891" s="9"/>
      <c r="L891" s="9"/>
      <c r="M891" s="9"/>
      <c r="N891" s="9"/>
      <c r="O891" s="9"/>
      <c r="P891" s="7"/>
      <c r="Q891" s="9"/>
      <c r="R891" s="9"/>
      <c r="S891" s="7"/>
      <c r="AA891" s="6"/>
      <c r="AB891" s="8"/>
    </row>
    <row r="892" spans="1:31" x14ac:dyDescent="0.25">
      <c r="A892" s="9"/>
      <c r="B892" s="9"/>
      <c r="C892" s="9"/>
      <c r="D892" s="9"/>
      <c r="E892" s="9"/>
      <c r="F892" s="7"/>
      <c r="G892" s="9"/>
      <c r="H892" s="9"/>
      <c r="I892" s="7"/>
      <c r="J892" s="9"/>
      <c r="K892" s="9"/>
      <c r="L892" s="9"/>
      <c r="M892" s="9"/>
      <c r="N892" s="9"/>
      <c r="O892" s="9"/>
      <c r="P892" s="7"/>
      <c r="Q892" s="9"/>
      <c r="R892" s="9"/>
      <c r="S892" s="7"/>
      <c r="AA892" s="6"/>
      <c r="AB892" s="8"/>
    </row>
    <row r="893" spans="1:31" x14ac:dyDescent="0.25">
      <c r="A893" s="9"/>
      <c r="B893" s="9"/>
      <c r="C893" s="9"/>
      <c r="D893" s="9"/>
      <c r="E893" s="9"/>
      <c r="F893" s="7"/>
      <c r="G893" s="9"/>
      <c r="H893" s="9"/>
      <c r="I893" s="7"/>
      <c r="J893" s="9"/>
      <c r="K893" s="9"/>
      <c r="L893" s="9"/>
      <c r="M893" s="9"/>
      <c r="N893" s="9"/>
      <c r="O893" s="9"/>
      <c r="P893" s="7"/>
      <c r="Q893" s="9"/>
      <c r="R893" s="9"/>
      <c r="S893" s="7"/>
      <c r="AA893" s="6"/>
      <c r="AB893" s="8"/>
    </row>
    <row r="894" spans="1:31" x14ac:dyDescent="0.25">
      <c r="A894" s="9"/>
      <c r="B894" s="9"/>
      <c r="C894" s="9"/>
      <c r="D894" s="9"/>
      <c r="E894" s="9"/>
      <c r="F894" s="7"/>
      <c r="G894" s="9"/>
      <c r="H894" s="9"/>
      <c r="I894" s="7"/>
      <c r="J894" s="9"/>
      <c r="K894" s="9"/>
      <c r="L894" s="9"/>
      <c r="M894" s="9"/>
      <c r="N894" s="9"/>
      <c r="O894" s="9"/>
      <c r="P894" s="7"/>
      <c r="Q894" s="9"/>
      <c r="R894" s="9"/>
      <c r="S894" s="7"/>
      <c r="AA894" s="6"/>
      <c r="AB894" s="8"/>
    </row>
    <row r="895" spans="1:31" x14ac:dyDescent="0.25">
      <c r="A895" s="9"/>
      <c r="B895" s="9"/>
      <c r="C895" s="9"/>
      <c r="D895" s="9"/>
      <c r="E895" s="9"/>
      <c r="F895" s="7"/>
      <c r="G895" s="9"/>
      <c r="H895" s="9"/>
      <c r="I895" s="7"/>
      <c r="J895" s="9"/>
      <c r="K895" s="9"/>
      <c r="L895" s="9"/>
      <c r="M895" s="9"/>
      <c r="N895" s="9"/>
      <c r="O895" s="9"/>
      <c r="P895" s="7"/>
      <c r="Q895" s="9"/>
      <c r="R895" s="9"/>
      <c r="S895" s="7"/>
      <c r="AA895" s="6"/>
      <c r="AB895" s="8"/>
    </row>
    <row r="896" spans="1:31" x14ac:dyDescent="0.25">
      <c r="A896" s="9"/>
      <c r="B896" s="9"/>
      <c r="C896" s="9"/>
      <c r="D896" s="9"/>
      <c r="E896" s="9"/>
      <c r="F896" s="7"/>
      <c r="G896" s="9"/>
      <c r="H896" s="9"/>
      <c r="I896" s="7"/>
      <c r="J896" s="9"/>
      <c r="K896" s="9"/>
      <c r="L896" s="9"/>
      <c r="M896" s="9"/>
      <c r="N896" s="9"/>
      <c r="O896" s="9"/>
      <c r="P896" s="7"/>
      <c r="Q896" s="9"/>
      <c r="R896" s="9"/>
      <c r="S896" s="7"/>
      <c r="AA896" s="6"/>
      <c r="AB896" s="8"/>
    </row>
    <row r="897" spans="1:28" x14ac:dyDescent="0.25">
      <c r="A897" s="9"/>
      <c r="B897" s="9"/>
      <c r="C897" s="9"/>
      <c r="D897" s="9"/>
      <c r="E897" s="9"/>
      <c r="F897" s="7"/>
      <c r="G897" s="9"/>
      <c r="H897" s="9"/>
      <c r="I897" s="7"/>
      <c r="J897" s="9"/>
      <c r="K897" s="9"/>
      <c r="L897" s="9"/>
      <c r="M897" s="9"/>
      <c r="N897" s="9"/>
      <c r="O897" s="9"/>
      <c r="P897" s="7"/>
      <c r="Q897" s="9"/>
      <c r="R897" s="9"/>
      <c r="S897" s="7"/>
      <c r="AA897" s="6"/>
      <c r="AB897" s="8"/>
    </row>
    <row r="898" spans="1:28" x14ac:dyDescent="0.25">
      <c r="A898" s="9"/>
      <c r="B898" s="9"/>
      <c r="C898" s="9"/>
      <c r="D898" s="9"/>
      <c r="E898" s="9"/>
      <c r="F898" s="7"/>
      <c r="G898" s="9"/>
      <c r="H898" s="9"/>
      <c r="I898" s="7"/>
      <c r="J898" s="9"/>
      <c r="K898" s="9"/>
      <c r="L898" s="9"/>
      <c r="M898" s="9"/>
      <c r="N898" s="9"/>
      <c r="O898" s="9"/>
      <c r="P898" s="7"/>
      <c r="Q898" s="9"/>
      <c r="R898" s="9"/>
      <c r="S898" s="7"/>
      <c r="AA898" s="6"/>
      <c r="AB898" s="8"/>
    </row>
    <row r="899" spans="1:28" x14ac:dyDescent="0.25">
      <c r="A899" s="9"/>
      <c r="B899" s="9"/>
      <c r="C899" s="9"/>
      <c r="D899" s="9"/>
      <c r="E899" s="9"/>
      <c r="F899" s="7"/>
      <c r="G899" s="9"/>
      <c r="H899" s="9"/>
      <c r="I899" s="7"/>
      <c r="J899" s="9"/>
      <c r="K899" s="9"/>
      <c r="L899" s="9"/>
      <c r="M899" s="9"/>
      <c r="N899" s="9"/>
      <c r="O899" s="9"/>
      <c r="P899" s="7"/>
      <c r="Q899" s="9"/>
      <c r="R899" s="9"/>
      <c r="S899" s="7"/>
      <c r="AA899" s="6"/>
      <c r="AB899" s="8"/>
    </row>
    <row r="900" spans="1:28" x14ac:dyDescent="0.25">
      <c r="A900" s="9"/>
      <c r="B900" s="9"/>
      <c r="C900" s="9"/>
      <c r="D900" s="9"/>
      <c r="E900" s="9"/>
      <c r="F900" s="7"/>
      <c r="G900" s="9"/>
      <c r="H900" s="9"/>
      <c r="I900" s="7"/>
      <c r="J900" s="9"/>
      <c r="K900" s="9"/>
      <c r="L900" s="9"/>
      <c r="M900" s="9"/>
      <c r="N900" s="9"/>
      <c r="O900" s="9"/>
      <c r="P900" s="7"/>
      <c r="Q900" s="9"/>
      <c r="R900" s="9"/>
      <c r="S900" s="7"/>
      <c r="AA900" s="6"/>
      <c r="AB900" s="8"/>
    </row>
    <row r="901" spans="1:28" x14ac:dyDescent="0.25">
      <c r="A901" s="9"/>
      <c r="B901" s="9"/>
      <c r="C901" s="9"/>
      <c r="D901" s="9"/>
      <c r="E901" s="9"/>
      <c r="F901" s="7"/>
      <c r="G901" s="9"/>
      <c r="H901" s="9"/>
      <c r="I901" s="7"/>
      <c r="J901" s="9"/>
      <c r="K901" s="9"/>
      <c r="L901" s="9"/>
      <c r="M901" s="9"/>
      <c r="N901" s="9"/>
      <c r="O901" s="9"/>
      <c r="P901" s="7"/>
      <c r="Q901" s="9"/>
      <c r="R901" s="9"/>
      <c r="S901" s="7"/>
      <c r="AA901" s="6"/>
      <c r="AB901" s="8"/>
    </row>
    <row r="902" spans="1:28" x14ac:dyDescent="0.25">
      <c r="A902" s="9"/>
      <c r="B902" s="9"/>
      <c r="C902" s="9"/>
      <c r="D902" s="9"/>
      <c r="E902" s="9"/>
      <c r="F902" s="7"/>
      <c r="G902" s="9"/>
      <c r="H902" s="9"/>
      <c r="I902" s="7"/>
      <c r="J902" s="9"/>
      <c r="K902" s="9"/>
      <c r="L902" s="9"/>
      <c r="M902" s="9"/>
      <c r="N902" s="9"/>
      <c r="O902" s="9"/>
      <c r="P902" s="7"/>
      <c r="Q902" s="9"/>
      <c r="R902" s="9"/>
      <c r="S902" s="7"/>
      <c r="AA902" s="6"/>
      <c r="AB902" s="8"/>
    </row>
    <row r="903" spans="1:28" x14ac:dyDescent="0.25">
      <c r="A903" s="9"/>
      <c r="B903" s="9"/>
      <c r="C903" s="9"/>
      <c r="D903" s="9"/>
      <c r="E903" s="9"/>
      <c r="F903" s="7"/>
      <c r="G903" s="9"/>
      <c r="H903" s="9"/>
      <c r="I903" s="7"/>
      <c r="J903" s="9"/>
      <c r="K903" s="9"/>
      <c r="L903" s="9"/>
      <c r="M903" s="9"/>
      <c r="N903" s="9"/>
      <c r="O903" s="9"/>
      <c r="P903" s="7"/>
      <c r="Q903" s="9"/>
      <c r="R903" s="9"/>
      <c r="S903" s="7"/>
      <c r="AA903" s="6"/>
      <c r="AB903" s="8"/>
    </row>
    <row r="904" spans="1:28" x14ac:dyDescent="0.25">
      <c r="A904" s="9"/>
      <c r="B904" s="9"/>
      <c r="C904" s="9"/>
      <c r="D904" s="9"/>
      <c r="E904" s="9"/>
      <c r="F904" s="7"/>
      <c r="G904" s="9"/>
      <c r="H904" s="9"/>
      <c r="I904" s="7"/>
      <c r="J904" s="9"/>
      <c r="K904" s="9"/>
      <c r="L904" s="9"/>
      <c r="M904" s="9"/>
      <c r="N904" s="9"/>
      <c r="O904" s="9"/>
      <c r="P904" s="7"/>
      <c r="Q904" s="9"/>
      <c r="R904" s="9"/>
      <c r="S904" s="7"/>
      <c r="AA904" s="6"/>
      <c r="AB904" s="8"/>
    </row>
    <row r="905" spans="1:28" x14ac:dyDescent="0.25">
      <c r="A905" s="9"/>
      <c r="B905" s="9"/>
      <c r="C905" s="9"/>
      <c r="D905" s="9"/>
      <c r="E905" s="9"/>
      <c r="F905" s="7"/>
      <c r="G905" s="9"/>
      <c r="H905" s="9"/>
      <c r="I905" s="7"/>
      <c r="J905" s="9"/>
      <c r="K905" s="9"/>
      <c r="L905" s="9"/>
      <c r="M905" s="9"/>
      <c r="N905" s="9"/>
      <c r="O905" s="9"/>
      <c r="P905" s="7"/>
      <c r="Q905" s="9"/>
      <c r="R905" s="9"/>
      <c r="S905" s="7"/>
      <c r="AA905" s="6"/>
      <c r="AB905" s="8"/>
    </row>
    <row r="906" spans="1:28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7"/>
      <c r="Q906" s="9"/>
      <c r="R906" s="9"/>
      <c r="S906" s="9"/>
      <c r="AA906" s="6"/>
      <c r="AB906" s="8"/>
    </row>
    <row r="907" spans="1:28" x14ac:dyDescent="0.25">
      <c r="A907" s="9" t="s">
        <v>615</v>
      </c>
      <c r="B907" s="9" t="s">
        <v>616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AA907" s="6"/>
      <c r="AB907" s="8"/>
    </row>
    <row r="908" spans="1:28" x14ac:dyDescent="0.25">
      <c r="A908" s="9"/>
      <c r="B908" s="9" t="s">
        <v>617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AA908" s="6"/>
    </row>
    <row r="909" spans="1:28" x14ac:dyDescent="0.25">
      <c r="A909" s="9"/>
      <c r="B909" s="9" t="s">
        <v>618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AA909" s="6"/>
    </row>
    <row r="910" spans="1:28" x14ac:dyDescent="0.25">
      <c r="A910" s="9"/>
      <c r="B910" s="9" t="s">
        <v>619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AA910" s="6"/>
    </row>
    <row r="911" spans="1:28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AA911" s="6"/>
    </row>
    <row r="912" spans="1:28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AA912" s="6"/>
    </row>
    <row r="913" spans="1:27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AA913" s="6"/>
    </row>
    <row r="914" spans="1:27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AA914" s="6"/>
    </row>
    <row r="915" spans="1:27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AA915" s="6"/>
    </row>
    <row r="916" spans="1:27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AA916" s="6"/>
    </row>
    <row r="917" spans="1:27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AA917" s="6"/>
    </row>
    <row r="918" spans="1:27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AA918" s="6"/>
    </row>
    <row r="919" spans="1:27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AA919" s="6"/>
    </row>
    <row r="920" spans="1:27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AA920" s="6"/>
    </row>
    <row r="921" spans="1:27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AA921" s="6"/>
    </row>
    <row r="922" spans="1:27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AA922" s="6"/>
    </row>
    <row r="923" spans="1:27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AA923" s="6"/>
    </row>
    <row r="924" spans="1:27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AA924" s="6"/>
    </row>
    <row r="925" spans="1:27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AA925" s="6"/>
    </row>
    <row r="926" spans="1:27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AA926" s="6"/>
    </row>
    <row r="927" spans="1:27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AA927" s="6"/>
    </row>
    <row r="928" spans="1:27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AA928" s="6"/>
    </row>
    <row r="929" spans="1:27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AA929" s="6"/>
    </row>
    <row r="930" spans="1:27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AA930" s="6"/>
    </row>
    <row r="931" spans="1:27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AA931" s="6"/>
    </row>
    <row r="932" spans="1:27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AA932" s="6"/>
    </row>
    <row r="933" spans="1:27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AA933" s="6"/>
    </row>
    <row r="934" spans="1:27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AA934" s="6"/>
    </row>
    <row r="935" spans="1:27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AA935" s="6"/>
    </row>
    <row r="936" spans="1:27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AA936" s="6"/>
    </row>
    <row r="937" spans="1:27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AA937" s="6"/>
    </row>
    <row r="938" spans="1:27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AA938" s="6"/>
    </row>
    <row r="939" spans="1:27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AA939" s="6"/>
    </row>
    <row r="940" spans="1:27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AA940" s="6"/>
    </row>
    <row r="941" spans="1:27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AA941" s="6"/>
    </row>
    <row r="942" spans="1:27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AA942" s="6"/>
    </row>
    <row r="943" spans="1:27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AA943" s="6"/>
    </row>
    <row r="944" spans="1:27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AA944" s="6"/>
    </row>
    <row r="945" spans="1:27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AA945" s="6"/>
    </row>
    <row r="946" spans="1:27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AA946" s="6"/>
    </row>
    <row r="947" spans="1:27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AA947" s="6"/>
    </row>
    <row r="948" spans="1:27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AA948" s="6"/>
    </row>
    <row r="949" spans="1:27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AA949" s="6"/>
    </row>
    <row r="950" spans="1:27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AA950" s="6"/>
    </row>
    <row r="951" spans="1:27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AA951" s="6"/>
    </row>
    <row r="952" spans="1:27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AA952" s="6"/>
    </row>
    <row r="953" spans="1:27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AA953" s="6"/>
    </row>
    <row r="954" spans="1:27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AA954" s="6"/>
    </row>
    <row r="955" spans="1:27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AA955" s="6"/>
    </row>
    <row r="956" spans="1:27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AA956" s="6"/>
    </row>
    <row r="957" spans="1:27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AA957" s="6"/>
    </row>
    <row r="958" spans="1:27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AA958" s="6"/>
    </row>
    <row r="959" spans="1:27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AA959" s="6"/>
    </row>
    <row r="960" spans="1:27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AA960" s="6"/>
    </row>
    <row r="961" spans="1:27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AA961" s="6"/>
    </row>
    <row r="962" spans="1:27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AA962" s="6"/>
    </row>
    <row r="963" spans="1:27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AA963" s="6"/>
    </row>
    <row r="964" spans="1:27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AA964" s="6"/>
    </row>
    <row r="965" spans="1:27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AA965" s="6"/>
    </row>
    <row r="966" spans="1:27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AA966" s="6"/>
    </row>
    <row r="967" spans="1:27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AA967" s="6"/>
    </row>
    <row r="968" spans="1:27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AA968" s="6"/>
    </row>
    <row r="969" spans="1:27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AA969" s="6"/>
    </row>
    <row r="970" spans="1:27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AA970" s="6"/>
    </row>
    <row r="971" spans="1:27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AA971" s="6"/>
    </row>
    <row r="972" spans="1:27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AA972" s="6"/>
    </row>
    <row r="973" spans="1:27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AA973" s="6"/>
    </row>
    <row r="974" spans="1:27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AA974" s="6"/>
    </row>
    <row r="975" spans="1:27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AA975" s="6"/>
    </row>
    <row r="976" spans="1:27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AA976" s="6"/>
    </row>
    <row r="977" spans="1:27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AA977" s="6"/>
    </row>
    <row r="978" spans="1:27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AA978" s="6"/>
    </row>
    <row r="979" spans="1:27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spans="1:27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spans="1:27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spans="1:27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spans="1:27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spans="1:27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spans="1:27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spans="1:27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spans="1:27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spans="1:27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spans="1:27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spans="1:27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spans="1:27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spans="1:27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spans="1:19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spans="1:19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spans="1:19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spans="1:19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spans="1:19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spans="1:19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spans="1:19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spans="1:19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  <row r="1001" spans="1:19" x14ac:dyDescent="0.25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</row>
    <row r="1002" spans="1:19" x14ac:dyDescent="0.25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</row>
    <row r="1003" spans="1:19" x14ac:dyDescent="0.25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</row>
    <row r="1004" spans="1:19" x14ac:dyDescent="0.25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</row>
    <row r="1005" spans="1:19" x14ac:dyDescent="0.2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</row>
    <row r="1006" spans="1:19" x14ac:dyDescent="0.25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</row>
    <row r="1007" spans="1:19" x14ac:dyDescent="0.25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</row>
    <row r="1008" spans="1:19" x14ac:dyDescent="0.25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</row>
    <row r="1009" spans="1:19" x14ac:dyDescent="0.25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</row>
    <row r="1010" spans="1:19" x14ac:dyDescent="0.25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</row>
    <row r="1011" spans="1:19" x14ac:dyDescent="0.25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</row>
    <row r="1012" spans="1:19" x14ac:dyDescent="0.25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</row>
    <row r="1013" spans="1:19" x14ac:dyDescent="0.25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</row>
    <row r="1014" spans="1:19" x14ac:dyDescent="0.25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</row>
    <row r="1015" spans="1:19" x14ac:dyDescent="0.2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</row>
    <row r="1016" spans="1:19" x14ac:dyDescent="0.25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</row>
    <row r="1017" spans="1:19" x14ac:dyDescent="0.25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</row>
    <row r="1018" spans="1:19" x14ac:dyDescent="0.25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</row>
    <row r="1019" spans="1:19" x14ac:dyDescent="0.25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</row>
    <row r="1020" spans="1:19" x14ac:dyDescent="0.25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</row>
    <row r="1021" spans="1:19" x14ac:dyDescent="0.25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</row>
    <row r="1022" spans="1:19" x14ac:dyDescent="0.25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</row>
    <row r="1023" spans="1:19" x14ac:dyDescent="0.25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</row>
    <row r="1024" spans="1:19" x14ac:dyDescent="0.25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</row>
    <row r="1025" spans="1:19" x14ac:dyDescent="0.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</row>
    <row r="1026" spans="1:19" x14ac:dyDescent="0.25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</row>
    <row r="1027" spans="1:19" x14ac:dyDescent="0.25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</row>
    <row r="1028" spans="1:19" x14ac:dyDescent="0.25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</row>
    <row r="1029" spans="1:19" x14ac:dyDescent="0.25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</row>
    <row r="1030" spans="1:19" x14ac:dyDescent="0.25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</row>
    <row r="1031" spans="1:19" x14ac:dyDescent="0.25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</row>
    <row r="1032" spans="1:19" x14ac:dyDescent="0.25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</row>
    <row r="1033" spans="1:19" x14ac:dyDescent="0.25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</row>
    <row r="1034" spans="1:19" x14ac:dyDescent="0.25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</row>
    <row r="1035" spans="1:19" x14ac:dyDescent="0.2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</row>
    <row r="1036" spans="1:19" x14ac:dyDescent="0.25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</row>
    <row r="1037" spans="1:19" x14ac:dyDescent="0.25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</row>
    <row r="1038" spans="1:19" x14ac:dyDescent="0.25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</row>
    <row r="1039" spans="1:19" x14ac:dyDescent="0.25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</row>
    <row r="1040" spans="1:19" x14ac:dyDescent="0.25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</row>
    <row r="1041" spans="1:19" x14ac:dyDescent="0.25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</row>
    <row r="1042" spans="1:19" x14ac:dyDescent="0.25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</row>
    <row r="1043" spans="1:19" x14ac:dyDescent="0.25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</row>
    <row r="1044" spans="1:19" x14ac:dyDescent="0.25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</row>
    <row r="1045" spans="1:19" x14ac:dyDescent="0.2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</row>
    <row r="1046" spans="1:19" x14ac:dyDescent="0.25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</row>
    <row r="1047" spans="1:19" x14ac:dyDescent="0.25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</row>
    <row r="1048" spans="1:19" x14ac:dyDescent="0.25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</row>
    <row r="1049" spans="1:19" x14ac:dyDescent="0.25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</row>
    <row r="1050" spans="1:19" x14ac:dyDescent="0.25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</row>
    <row r="1051" spans="1:19" x14ac:dyDescent="0.25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</row>
    <row r="1052" spans="1:19" x14ac:dyDescent="0.25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</row>
    <row r="1053" spans="1:19" x14ac:dyDescent="0.25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</row>
    <row r="1054" spans="1:19" x14ac:dyDescent="0.25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</row>
    <row r="1055" spans="1:19" x14ac:dyDescent="0.2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</row>
    <row r="1056" spans="1:19" x14ac:dyDescent="0.25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</row>
    <row r="1057" spans="1:19" x14ac:dyDescent="0.25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</row>
    <row r="1058" spans="1:19" x14ac:dyDescent="0.25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</row>
    <row r="1059" spans="1:19" x14ac:dyDescent="0.25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</row>
    <row r="1060" spans="1:19" x14ac:dyDescent="0.25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</row>
    <row r="1061" spans="1:19" x14ac:dyDescent="0.25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</row>
    <row r="1062" spans="1:19" x14ac:dyDescent="0.25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</row>
    <row r="1063" spans="1:19" x14ac:dyDescent="0.25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</row>
    <row r="1064" spans="1:19" x14ac:dyDescent="0.25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</row>
    <row r="1065" spans="1:19" x14ac:dyDescent="0.2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</row>
    <row r="1066" spans="1:19" x14ac:dyDescent="0.25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</row>
    <row r="1067" spans="1:19" x14ac:dyDescent="0.25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</row>
    <row r="1068" spans="1:19" x14ac:dyDescent="0.25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</row>
    <row r="1069" spans="1:19" x14ac:dyDescent="0.25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</row>
    <row r="1070" spans="1:19" x14ac:dyDescent="0.25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</row>
    <row r="1071" spans="1:19" x14ac:dyDescent="0.25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</row>
    <row r="1072" spans="1:19" x14ac:dyDescent="0.25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</row>
    <row r="1073" spans="1:19" x14ac:dyDescent="0.25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</row>
    <row r="1074" spans="1:19" x14ac:dyDescent="0.25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</row>
    <row r="1075" spans="1:19" x14ac:dyDescent="0.2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</row>
    <row r="1076" spans="1:19" x14ac:dyDescent="0.25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</row>
    <row r="1077" spans="1:19" x14ac:dyDescent="0.25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</row>
    <row r="1078" spans="1:19" x14ac:dyDescent="0.25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</row>
    <row r="1079" spans="1:19" x14ac:dyDescent="0.25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</row>
    <row r="1080" spans="1:19" x14ac:dyDescent="0.25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</row>
    <row r="1081" spans="1:19" x14ac:dyDescent="0.25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</row>
    <row r="1082" spans="1:19" x14ac:dyDescent="0.25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</row>
    <row r="1083" spans="1:19" x14ac:dyDescent="0.25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</row>
    <row r="1084" spans="1:19" x14ac:dyDescent="0.25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</row>
    <row r="1085" spans="1:19" x14ac:dyDescent="0.2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</row>
    <row r="1086" spans="1:19" x14ac:dyDescent="0.25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</row>
    <row r="1087" spans="1:19" x14ac:dyDescent="0.25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</row>
    <row r="1088" spans="1:19" x14ac:dyDescent="0.25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</row>
    <row r="1089" spans="1:19" x14ac:dyDescent="0.25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</row>
    <row r="1090" spans="1:19" x14ac:dyDescent="0.25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</row>
    <row r="1091" spans="1:19" x14ac:dyDescent="0.25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</row>
    <row r="1092" spans="1:19" x14ac:dyDescent="0.25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</row>
    <row r="1093" spans="1:19" x14ac:dyDescent="0.25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</row>
    <row r="1094" spans="1:19" x14ac:dyDescent="0.25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</row>
    <row r="1095" spans="1:19" x14ac:dyDescent="0.2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</row>
    <row r="1096" spans="1:19" x14ac:dyDescent="0.25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</row>
    <row r="1097" spans="1:19" x14ac:dyDescent="0.25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</row>
    <row r="1098" spans="1:19" x14ac:dyDescent="0.25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</row>
    <row r="1099" spans="1:19" x14ac:dyDescent="0.25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</row>
    <row r="1100" spans="1:19" x14ac:dyDescent="0.25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</row>
    <row r="1101" spans="1:19" x14ac:dyDescent="0.25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</row>
    <row r="1102" spans="1:19" x14ac:dyDescent="0.25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</row>
    <row r="1103" spans="1:19" x14ac:dyDescent="0.25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</row>
    <row r="1104" spans="1:19" x14ac:dyDescent="0.25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</row>
    <row r="1105" spans="1:19" x14ac:dyDescent="0.2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</row>
    <row r="1106" spans="1:19" x14ac:dyDescent="0.25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</row>
    <row r="1107" spans="1:19" x14ac:dyDescent="0.25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</row>
    <row r="1108" spans="1:19" x14ac:dyDescent="0.25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</row>
    <row r="1109" spans="1:19" x14ac:dyDescent="0.25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</row>
    <row r="1110" spans="1:19" x14ac:dyDescent="0.25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</row>
    <row r="1111" spans="1:19" x14ac:dyDescent="0.25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</row>
    <row r="1112" spans="1:19" x14ac:dyDescent="0.25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</row>
    <row r="1113" spans="1:19" x14ac:dyDescent="0.25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</row>
    <row r="1114" spans="1:19" x14ac:dyDescent="0.25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</row>
    <row r="1115" spans="1:19" x14ac:dyDescent="0.2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</row>
    <row r="1116" spans="1:19" x14ac:dyDescent="0.25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</row>
    <row r="1117" spans="1:19" x14ac:dyDescent="0.25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</row>
    <row r="1118" spans="1:19" x14ac:dyDescent="0.25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</row>
    <row r="1119" spans="1:19" x14ac:dyDescent="0.25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</row>
    <row r="1120" spans="1:19" x14ac:dyDescent="0.25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</row>
    <row r="1121" spans="1:19" x14ac:dyDescent="0.25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</row>
    <row r="1122" spans="1:19" x14ac:dyDescent="0.25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</row>
    <row r="1123" spans="1:19" x14ac:dyDescent="0.25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</row>
    <row r="1124" spans="1:19" x14ac:dyDescent="0.25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</row>
    <row r="1125" spans="1:19" x14ac:dyDescent="0.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</row>
    <row r="1126" spans="1:19" x14ac:dyDescent="0.25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</row>
    <row r="1127" spans="1:19" x14ac:dyDescent="0.25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</row>
    <row r="1128" spans="1:19" x14ac:dyDescent="0.25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</row>
    <row r="1129" spans="1:19" x14ac:dyDescent="0.25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</row>
    <row r="1130" spans="1:19" x14ac:dyDescent="0.25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</row>
    <row r="1131" spans="1:19" x14ac:dyDescent="0.25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</row>
    <row r="1132" spans="1:19" x14ac:dyDescent="0.25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</row>
    <row r="1133" spans="1:19" x14ac:dyDescent="0.25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</row>
    <row r="1134" spans="1:19" x14ac:dyDescent="0.25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</row>
    <row r="1135" spans="1:19" x14ac:dyDescent="0.2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</row>
    <row r="1136" spans="1:19" x14ac:dyDescent="0.25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</row>
    <row r="1137" spans="1:19" x14ac:dyDescent="0.25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</row>
    <row r="1138" spans="1:19" x14ac:dyDescent="0.25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</row>
    <row r="1139" spans="1:19" x14ac:dyDescent="0.25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</row>
    <row r="1140" spans="1:19" x14ac:dyDescent="0.25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</row>
    <row r="1141" spans="1:19" x14ac:dyDescent="0.25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</row>
    <row r="1142" spans="1:19" x14ac:dyDescent="0.25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</row>
    <row r="1143" spans="1:19" x14ac:dyDescent="0.25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</row>
    <row r="1144" spans="1:19" x14ac:dyDescent="0.25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</row>
    <row r="1145" spans="1:19" x14ac:dyDescent="0.2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</row>
    <row r="1146" spans="1:19" x14ac:dyDescent="0.25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</row>
    <row r="1147" spans="1:19" x14ac:dyDescent="0.25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</row>
    <row r="1148" spans="1:19" x14ac:dyDescent="0.25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</row>
    <row r="1149" spans="1:19" x14ac:dyDescent="0.25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</row>
    <row r="1150" spans="1:19" x14ac:dyDescent="0.25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</row>
    <row r="1151" spans="1:19" x14ac:dyDescent="0.25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</row>
    <row r="1152" spans="1:19" x14ac:dyDescent="0.25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</row>
    <row r="1153" spans="1:19" x14ac:dyDescent="0.25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</row>
    <row r="1154" spans="1:19" x14ac:dyDescent="0.25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</row>
    <row r="1155" spans="1:19" x14ac:dyDescent="0.2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</row>
    <row r="1156" spans="1:19" x14ac:dyDescent="0.25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</row>
    <row r="1157" spans="1:19" x14ac:dyDescent="0.25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</row>
    <row r="1158" spans="1:19" x14ac:dyDescent="0.25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</row>
    <row r="1159" spans="1:19" x14ac:dyDescent="0.25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</row>
    <row r="1160" spans="1:19" x14ac:dyDescent="0.25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</row>
    <row r="1161" spans="1:19" x14ac:dyDescent="0.25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</row>
    <row r="1162" spans="1:19" x14ac:dyDescent="0.25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</row>
    <row r="1163" spans="1:19" x14ac:dyDescent="0.25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</row>
    <row r="1164" spans="1:19" x14ac:dyDescent="0.25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</row>
    <row r="1165" spans="1:19" x14ac:dyDescent="0.2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</row>
    <row r="1166" spans="1:19" x14ac:dyDescent="0.25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</row>
    <row r="1167" spans="1:19" x14ac:dyDescent="0.25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</row>
    <row r="1168" spans="1:19" x14ac:dyDescent="0.25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</row>
    <row r="1169" spans="1:19" x14ac:dyDescent="0.25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</row>
    <row r="1170" spans="1:19" x14ac:dyDescent="0.25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</row>
    <row r="1171" spans="1:19" x14ac:dyDescent="0.25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</row>
    <row r="1172" spans="1:19" x14ac:dyDescent="0.25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</row>
    <row r="1173" spans="1:19" x14ac:dyDescent="0.25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</row>
    <row r="1174" spans="1:19" x14ac:dyDescent="0.25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</row>
    <row r="1175" spans="1:19" x14ac:dyDescent="0.2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</row>
    <row r="1176" spans="1:19" x14ac:dyDescent="0.25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</row>
    <row r="1177" spans="1:19" x14ac:dyDescent="0.25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</row>
    <row r="1178" spans="1:19" x14ac:dyDescent="0.25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</row>
    <row r="1179" spans="1:19" x14ac:dyDescent="0.25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</row>
    <row r="1180" spans="1:19" x14ac:dyDescent="0.25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</row>
    <row r="1181" spans="1:19" x14ac:dyDescent="0.25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</row>
    <row r="1182" spans="1:19" x14ac:dyDescent="0.25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</row>
    <row r="1183" spans="1:19" x14ac:dyDescent="0.25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</row>
    <row r="1184" spans="1:19" x14ac:dyDescent="0.25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</row>
    <row r="1185" spans="1:19" x14ac:dyDescent="0.2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</row>
    <row r="1186" spans="1:19" x14ac:dyDescent="0.25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</row>
    <row r="1187" spans="1:19" x14ac:dyDescent="0.25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</row>
    <row r="1188" spans="1:19" x14ac:dyDescent="0.25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</row>
    <row r="1189" spans="1:19" x14ac:dyDescent="0.25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</row>
    <row r="1190" spans="1:19" x14ac:dyDescent="0.25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</row>
  </sheetData>
  <printOptions horizontalCentered="1" gridLines="1"/>
  <pageMargins left="0.19685039370078741" right="0" top="0.55118110236220474" bottom="0.15748031496062992" header="0.31496062992125984" footer="0.31496062992125984"/>
  <pageSetup paperSize="9" orientation="landscape" horizontalDpi="0" verticalDpi="0" r:id="rId1"/>
  <headerFooter>
    <oddHeader xml:space="preserve">&amp;CGLEN WAVERLEY HAWKS C C Statistics 1980-2022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ken calder</cp:lastModifiedBy>
  <cp:lastPrinted>2021-01-20T01:58:21Z</cp:lastPrinted>
  <dcterms:created xsi:type="dcterms:W3CDTF">2010-01-11T03:02:18Z</dcterms:created>
  <dcterms:modified xsi:type="dcterms:W3CDTF">2026-03-30T23:26:06Z</dcterms:modified>
</cp:coreProperties>
</file>